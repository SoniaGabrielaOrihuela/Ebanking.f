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sorihuela_ntt_santander_com_pe/Documents/Personal/"/>
    </mc:Choice>
  </mc:AlternateContent>
  <xr:revisionPtr revIDLastSave="387" documentId="13_ncr:1_{9EC6718A-B1D5-43AA-BB96-6CED82F85135}" xr6:coauthVersionLast="47" xr6:coauthVersionMax="47" xr10:uidLastSave="{9271A10A-66F0-4F2C-B8EE-BBE97067A2E1}"/>
  <bookViews>
    <workbookView xWindow="-110" yWindow="-110" windowWidth="19420" windowHeight="10300" tabRatio="709" activeTab="4" xr2:uid="{C823EF98-7B0D-4CE9-8E95-3CC959EF7B42}"/>
  </bookViews>
  <sheets>
    <sheet name="Data" sheetId="3" r:id="rId1"/>
    <sheet name="inicial" sheetId="1" r:id="rId2"/>
    <sheet name="Factoring" sheetId="2" r:id="rId3"/>
    <sheet name="Factoring Next" sheetId="4" r:id="rId4"/>
    <sheet name="Floorplan" sheetId="5" r:id="rId5"/>
    <sheet name="Tranf al exterior" sheetId="6" r:id="rId6"/>
    <sheet name="Confirming GD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6" i="5" l="1"/>
  <c r="I14" i="5"/>
  <c r="G7" i="5"/>
  <c r="J7" i="5"/>
  <c r="I7" i="5"/>
  <c r="H7" i="5"/>
  <c r="I12" i="5"/>
  <c r="I13" i="5"/>
  <c r="I11" i="5"/>
  <c r="H13" i="5"/>
  <c r="H12" i="5"/>
  <c r="H11" i="5"/>
  <c r="H8" i="6"/>
  <c r="B11" i="3"/>
  <c r="Q5" i="7"/>
  <c r="Q6" i="7"/>
  <c r="E4" i="7" s="1"/>
  <c r="H30" i="6"/>
  <c r="I30" i="6"/>
  <c r="J30" i="6"/>
  <c r="G30" i="6"/>
  <c r="H14" i="3"/>
  <c r="I4" i="6"/>
  <c r="Q28" i="6"/>
  <c r="N31" i="6"/>
  <c r="J29" i="6"/>
  <c r="I29" i="6"/>
  <c r="H29" i="6"/>
  <c r="Q29" i="6"/>
  <c r="E27" i="6" s="1"/>
  <c r="G27" i="6" s="1"/>
  <c r="G28" i="6"/>
  <c r="I28" i="6" s="1"/>
  <c r="N27" i="6"/>
  <c r="J26" i="6"/>
  <c r="I26" i="6"/>
  <c r="H26" i="6"/>
  <c r="Q6" i="6"/>
  <c r="Q7" i="6"/>
  <c r="E5" i="6" s="1"/>
  <c r="Q6" i="5"/>
  <c r="Q7" i="5"/>
  <c r="Q10" i="4"/>
  <c r="B19" i="3"/>
  <c r="H28" i="6" l="1"/>
  <c r="J28" i="6"/>
  <c r="J27" i="6"/>
  <c r="I27" i="6"/>
  <c r="H27" i="6"/>
  <c r="Q8" i="2"/>
  <c r="Q9" i="2"/>
  <c r="E4" i="4"/>
  <c r="G4" i="4" s="1"/>
  <c r="Q6" i="4"/>
  <c r="J6" i="2"/>
  <c r="G4" i="7"/>
  <c r="N11" i="7"/>
  <c r="N10" i="7"/>
  <c r="N8" i="7"/>
  <c r="J6" i="7"/>
  <c r="I6" i="7"/>
  <c r="H6" i="7"/>
  <c r="G5" i="7"/>
  <c r="J5" i="7" s="1"/>
  <c r="N4" i="7"/>
  <c r="N13" i="7" s="1"/>
  <c r="J3" i="7"/>
  <c r="I3" i="7"/>
  <c r="H3" i="7"/>
  <c r="N12" i="6"/>
  <c r="N11" i="6"/>
  <c r="N9" i="6"/>
  <c r="J7" i="6"/>
  <c r="I7" i="6"/>
  <c r="H7" i="6"/>
  <c r="G6" i="6"/>
  <c r="N5" i="6"/>
  <c r="G5" i="6"/>
  <c r="J5" i="6" s="1"/>
  <c r="J4" i="6"/>
  <c r="H4" i="6"/>
  <c r="N13" i="5"/>
  <c r="N11" i="5"/>
  <c r="N10" i="5"/>
  <c r="N8" i="5"/>
  <c r="J6" i="5"/>
  <c r="I6" i="5"/>
  <c r="H6" i="5"/>
  <c r="G5" i="5"/>
  <c r="J5" i="5" s="1"/>
  <c r="N4" i="5"/>
  <c r="G4" i="5"/>
  <c r="J3" i="5"/>
  <c r="I3" i="5"/>
  <c r="H3" i="5"/>
  <c r="N11" i="4"/>
  <c r="N10" i="4"/>
  <c r="N8" i="4"/>
  <c r="J6" i="4"/>
  <c r="I6" i="4"/>
  <c r="H6" i="4"/>
  <c r="G5" i="4"/>
  <c r="H5" i="4" s="1"/>
  <c r="N4" i="4"/>
  <c r="N13" i="4" s="1"/>
  <c r="J3" i="4"/>
  <c r="I3" i="4"/>
  <c r="H3" i="4"/>
  <c r="H4" i="3"/>
  <c r="H5" i="3"/>
  <c r="J6" i="3" s="1"/>
  <c r="H6" i="3"/>
  <c r="H2" i="3"/>
  <c r="E4" i="2" l="1"/>
  <c r="H6" i="6"/>
  <c r="G8" i="6"/>
  <c r="J4" i="7"/>
  <c r="J7" i="7" s="1"/>
  <c r="G7" i="7"/>
  <c r="N14" i="6"/>
  <c r="I6" i="6"/>
  <c r="J6" i="6"/>
  <c r="J8" i="6" s="1"/>
  <c r="I4" i="5"/>
  <c r="J4" i="4"/>
  <c r="G7" i="4"/>
  <c r="H4" i="5"/>
  <c r="J4" i="5"/>
  <c r="I5" i="7"/>
  <c r="H4" i="7"/>
  <c r="I4" i="7"/>
  <c r="H5" i="7"/>
  <c r="H5" i="6"/>
  <c r="I5" i="6"/>
  <c r="H5" i="5"/>
  <c r="I5" i="5"/>
  <c r="I5" i="4"/>
  <c r="H4" i="4"/>
  <c r="H7" i="4" s="1"/>
  <c r="I4" i="4"/>
  <c r="J5" i="4"/>
  <c r="E7" i="3"/>
  <c r="F7" i="3"/>
  <c r="I8" i="6" l="1"/>
  <c r="I7" i="7"/>
  <c r="H7" i="7"/>
  <c r="I7" i="4"/>
  <c r="J7" i="4"/>
  <c r="D3" i="3"/>
  <c r="D7" i="3" l="1"/>
  <c r="H3" i="3"/>
  <c r="H7" i="3" s="1"/>
  <c r="N11" i="2"/>
  <c r="N10" i="2"/>
  <c r="N8" i="2"/>
  <c r="N4" i="2"/>
  <c r="G5" i="2"/>
  <c r="H5" i="2" s="1"/>
  <c r="J5" i="2" s="1"/>
  <c r="G4" i="2"/>
  <c r="H3" i="2"/>
  <c r="J3" i="2" s="1"/>
  <c r="I3" i="2"/>
  <c r="F26" i="1"/>
  <c r="I4" i="2" l="1"/>
  <c r="G7" i="2"/>
  <c r="N13" i="2"/>
  <c r="H4" i="2"/>
  <c r="I5" i="2"/>
  <c r="H6" i="2"/>
  <c r="I6" i="2"/>
  <c r="I7" i="2" l="1"/>
  <c r="H7" i="2"/>
  <c r="J4" i="2"/>
  <c r="J7" i="2" s="1"/>
  <c r="F16" i="1"/>
  <c r="E26" i="1" l="1"/>
  <c r="D26" i="1"/>
  <c r="E23" i="1"/>
  <c r="H23" i="1" s="1"/>
  <c r="B13" i="1"/>
  <c r="B9" i="1"/>
  <c r="G23" i="1" l="1"/>
  <c r="F23" i="1"/>
  <c r="E16" i="1" l="1"/>
  <c r="D16" i="1"/>
  <c r="K20" i="1"/>
  <c r="C20" i="1" s="1"/>
  <c r="D20" i="1" l="1"/>
  <c r="G20" i="1" s="1"/>
  <c r="E20" i="1"/>
  <c r="E29" i="1" s="1"/>
  <c r="D29" i="1"/>
  <c r="G29" i="1" s="1"/>
  <c r="F20" i="1"/>
  <c r="F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Sonia Orihuela</author>
  </authors>
  <commentList>
    <comment ref="E13" authorId="0" shapeId="0" xr:uid="{5894A547-F0CB-4526-B6C3-ABC691C31B62}">
      <text>
        <r>
          <rPr>
            <sz val="9"/>
            <color indexed="81"/>
            <rFont val="Tahoma"/>
            <charset val="1"/>
          </rPr>
          <t>4–5 semanas</t>
        </r>
      </text>
    </comment>
    <comment ref="F13" authorId="0" shapeId="0" xr:uid="{AC230E90-5DE7-43BA-83C2-F23B7A6A1692}">
      <text>
        <r>
          <rPr>
            <b/>
            <sz val="9"/>
            <color indexed="81"/>
            <rFont val="Tahoma"/>
            <charset val="1"/>
          </rPr>
          <t>2.5–3 semanas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Sonia Orihuela</author>
  </authors>
  <commentList>
    <comment ref="B3" authorId="0" shapeId="0" xr:uid="{777AF470-399A-4CFA-B001-B70E79C46356}">
      <text>
        <r>
          <rPr>
            <b/>
            <sz val="9"/>
            <color indexed="81"/>
            <rFont val="Tahoma"/>
            <family val="2"/>
          </rPr>
          <t>Las HU que faltan: Etapa 2, 3 y 4
945 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Sonia Orihuela</author>
  </authors>
  <commentList>
    <comment ref="B3" authorId="0" shapeId="0" xr:uid="{77D38200-CE87-41A6-8E7D-399ACD3552F6}">
      <text>
        <r>
          <rPr>
            <b/>
            <sz val="9"/>
            <color indexed="81"/>
            <rFont val="Tahoma"/>
            <charset val="1"/>
          </rPr>
          <t>945 CP</t>
        </r>
      </text>
    </comment>
    <comment ref="Q4" authorId="0" shapeId="0" xr:uid="{31FBCA34-76A4-400B-A7C6-B09D194653B6}">
      <text>
        <r>
          <rPr>
            <b/>
            <sz val="9"/>
            <color indexed="81"/>
            <rFont val="Tahoma"/>
            <charset val="1"/>
          </rPr>
          <t>ya se tiene 500 casos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Sonia Orihuela</author>
  </authors>
  <commentList>
    <comment ref="B26" authorId="0" shapeId="0" xr:uid="{64506876-6AED-469A-81C3-37CF5D1AA130}">
      <text>
        <r>
          <rPr>
            <b/>
            <sz val="9"/>
            <color indexed="81"/>
            <rFont val="Tahoma"/>
            <family val="2"/>
          </rPr>
          <t>Las HU que faltan: Etapa 2, 3 y 4</t>
        </r>
      </text>
    </comment>
  </commentList>
</comments>
</file>

<file path=xl/sharedStrings.xml><?xml version="1.0" encoding="utf-8"?>
<sst xmlns="http://schemas.openxmlformats.org/spreadsheetml/2006/main" count="407" uniqueCount="119">
  <si>
    <t>Funcionalidad</t>
  </si>
  <si>
    <t># de casos</t>
  </si>
  <si>
    <t>Demora de certi</t>
  </si>
  <si>
    <t>Bug Canal</t>
  </si>
  <si>
    <t>UAT Surgir</t>
  </si>
  <si>
    <t>UAT LZ</t>
  </si>
  <si>
    <t>Integración</t>
  </si>
  <si>
    <t>Total</t>
  </si>
  <si>
    <t>Pendiente</t>
  </si>
  <si>
    <t>Operaciones Frecuentes</t>
  </si>
  <si>
    <t>Gestion de Proveedores</t>
  </si>
  <si>
    <t>Pagos masivos</t>
  </si>
  <si>
    <t>Confirming</t>
  </si>
  <si>
    <t>50% mas complejo se estima</t>
  </si>
  <si>
    <t>Factoring</t>
  </si>
  <si>
    <t>Casos</t>
  </si>
  <si>
    <t>BUG</t>
  </si>
  <si>
    <t>Creacion de casos de prueba</t>
  </si>
  <si>
    <t>1 QA</t>
  </si>
  <si>
    <t>2 QA</t>
  </si>
  <si>
    <t>Casos x qax dia</t>
  </si>
  <si>
    <t>dias</t>
  </si>
  <si>
    <t>1QA confirming</t>
  </si>
  <si>
    <t>15 a 25 dias x todo confirming</t>
  </si>
  <si>
    <t>5 semanas</t>
  </si>
  <si>
    <t>Prom</t>
  </si>
  <si>
    <t>21 casos x dia</t>
  </si>
  <si>
    <t>QA</t>
  </si>
  <si>
    <t>Total dias</t>
  </si>
  <si>
    <t>2QAS</t>
  </si>
  <si>
    <t>1 temporal</t>
  </si>
  <si>
    <t>1QA</t>
  </si>
  <si>
    <t>Casos de Prueba</t>
  </si>
  <si>
    <t>Floorplan</t>
  </si>
  <si>
    <t>OTFX</t>
  </si>
  <si>
    <t>Factoring 2</t>
  </si>
  <si>
    <t>Floor Plan-Importador Repuesto</t>
  </si>
  <si>
    <t>MVP0</t>
  </si>
  <si>
    <t>Floor Plan-Importador Vehiculo</t>
  </si>
  <si>
    <t>Épica - Etapa 1 - Desembolso</t>
  </si>
  <si>
    <t>Épica - Etapa 2 - Pagos</t>
  </si>
  <si>
    <t>Épica - Etapa 3 - Consultas y Reporteria</t>
  </si>
  <si>
    <t>Épica - Etapa 4 - Reciclaje</t>
  </si>
  <si>
    <t>Analisis &amp; Redaccion de casos</t>
  </si>
  <si>
    <t># de QA</t>
  </si>
  <si>
    <t>Dias</t>
  </si>
  <si>
    <t>Sprints</t>
  </si>
  <si>
    <t>Meses</t>
  </si>
  <si>
    <t>Semanas</t>
  </si>
  <si>
    <t>Ejecucion - uat lz</t>
  </si>
  <si>
    <t>Casos QA x dia</t>
  </si>
  <si>
    <t>APIS</t>
  </si>
  <si>
    <t>Total de casos</t>
  </si>
  <si>
    <t>Retest de Bug</t>
  </si>
  <si>
    <t>Casos /Bug</t>
  </si>
  <si>
    <t>Soporte Post pase</t>
  </si>
  <si>
    <t>Entre 5 y 5.5 meses incluyendo contingencias</t>
  </si>
  <si>
    <t>Casos x dia</t>
  </si>
  <si>
    <t>Fase</t>
  </si>
  <si>
    <t># de Casos</t>
  </si>
  <si>
    <t xml:space="preserve"> # de Bug</t>
  </si>
  <si>
    <t>Ambiente</t>
  </si>
  <si>
    <t>max</t>
  </si>
  <si>
    <t>Analisis &amp; Redacción de CP</t>
  </si>
  <si>
    <t>N/A</t>
  </si>
  <si>
    <t>min</t>
  </si>
  <si>
    <t>Detalle de Casos</t>
  </si>
  <si>
    <t>Ejecución Canal e integración</t>
  </si>
  <si>
    <t>Retest Bugs</t>
  </si>
  <si>
    <t>Soporte Post PRD</t>
  </si>
  <si>
    <t>APIS Integración</t>
  </si>
  <si>
    <t>Consideraciones</t>
  </si>
  <si>
    <t>Promedio</t>
  </si>
  <si>
    <t>Bloqueos</t>
  </si>
  <si>
    <t>Max</t>
  </si>
  <si>
    <t>Dependencias</t>
  </si>
  <si>
    <t>Min</t>
  </si>
  <si>
    <t>Inestabilidad del ambiente</t>
  </si>
  <si>
    <t>Cambio de Alcance (Retest no estimado)</t>
  </si>
  <si>
    <t>Prom entre Canal /Integración</t>
  </si>
  <si>
    <t>Refinamiento constante por  cambio de definición / alcance</t>
  </si>
  <si>
    <t>Se considera reportes que se deben generar para operaciones y contabilidad</t>
  </si>
  <si>
    <t>* Los casos x dia incluye las pruebas de integración que son de mayor complejidad</t>
  </si>
  <si>
    <t>*Factoring 50% mas complejo que Confirming</t>
  </si>
  <si>
    <t>*Se considera Pruebas E2E Mayor complejidad</t>
  </si>
  <si>
    <t>*Las Ceremonias (Planning / Review) no estan consideradas en la estimación</t>
  </si>
  <si>
    <t>Amortización Canal</t>
  </si>
  <si>
    <t>Renovación Canal</t>
  </si>
  <si>
    <t>Pendiente de Firma</t>
  </si>
  <si>
    <t>Consulta de Operaciones</t>
  </si>
  <si>
    <t>Reportes</t>
  </si>
  <si>
    <t>*Se toma como Base la estimación Épica - Etapa 2 - Pagos / Cancelación</t>
  </si>
  <si>
    <t>FP Importador</t>
  </si>
  <si>
    <t>FP Concesionario</t>
  </si>
  <si>
    <t>Sin OTFX</t>
  </si>
  <si>
    <t>Tranf al Exterior</t>
  </si>
  <si>
    <t>*dependencias (Core, MUREX, Swift, Fx)</t>
  </si>
  <si>
    <t>Con OTFX</t>
  </si>
  <si>
    <t>Confirming Group Debit</t>
  </si>
  <si>
    <t>1Qa del 22/07 al 04/09 
3QA del 04/09 son hasta noviembre
2QA de noviembre a enero 2026/ Aprox 4 meses con Promedio 3 QAS</t>
  </si>
  <si>
    <t>Factoring nxt</t>
  </si>
  <si>
    <t>Confirming GD</t>
  </si>
  <si>
    <t>Tranf. Ext</t>
  </si>
  <si>
    <t>660 casos</t>
  </si>
  <si>
    <t>Paso 2 - Envio de Instrucciones</t>
  </si>
  <si>
    <t>Paso 1- Selección de Beneficiario</t>
  </si>
  <si>
    <t>Gestion de Proveedores (Beneficiario)</t>
  </si>
  <si>
    <t>Paso 3 - Resumen</t>
  </si>
  <si>
    <t>semanas</t>
  </si>
  <si>
    <t>retest</t>
  </si>
  <si>
    <t>soporte pre</t>
  </si>
  <si>
    <t>analisis</t>
  </si>
  <si>
    <t>integracion</t>
  </si>
  <si>
    <t>Promedio de bugs / Base Factoring</t>
  </si>
  <si>
    <t>Confirmig</t>
  </si>
  <si>
    <t>660 casos en 4M</t>
  </si>
  <si>
    <t>e2e</t>
  </si>
  <si>
    <t>qas</t>
  </si>
  <si>
    <t>semanas bug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</si>
</sst>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b/>
      <i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sz val="9"/>
      <color theme="1"/>
      <name val="Aptos Narrow"/>
      <family val="2"/>
      <scheme val="minor"/>
    </font>
    <font>
      <b/>
      <sz val="7"/>
      <color rgb="FF2E404D"/>
      <name val="Segoe UI"/>
      <family val="2"/>
    </font>
    <font>
      <sz val="7"/>
      <color rgb="FF2E404D"/>
      <name val="Segoe UI"/>
      <family val="2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double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/>
      <bottom style="double">
        <color theme="0" tint="-0.249977111117893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2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wrapText="1"/>
    </xf>
    <xf numFmtId="2" fontId="0" fillId="3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2" fontId="0" fillId="2" borderId="5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2" borderId="0" xfId="0" applyFont="1" applyFill="1"/>
    <xf numFmtId="0" fontId="0" fillId="2" borderId="7" xfId="0" applyFill="1" applyBorder="1" applyAlignment="1">
      <alignment horizontal="center" vertical="center"/>
    </xf>
    <xf numFmtId="0" fontId="4" fillId="2" borderId="4" xfId="0" applyFont="1" applyFill="1" applyBorder="1"/>
    <xf numFmtId="2" fontId="0" fillId="2" borderId="0" xfId="0" applyNumberFormat="1" applyFill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2" borderId="8" xfId="0" applyFill="1" applyBorder="1"/>
    <xf numFmtId="2" fontId="0" fillId="6" borderId="6" xfId="0" applyNumberForma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2" fontId="0" fillId="3" borderId="0" xfId="0" applyNumberFormat="1" applyFill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4" fillId="2" borderId="0" xfId="0" applyFont="1" applyFill="1"/>
    <xf numFmtId="0" fontId="8" fillId="7" borderId="0" xfId="0" applyFont="1" applyFill="1" applyAlignment="1">
      <alignment horizontal="left" vertical="center" wrapText="1" indent="2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2" fontId="8" fillId="7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/>
    </xf>
    <xf numFmtId="0" fontId="0" fillId="2" borderId="0" xfId="0" applyFill="1" applyAlignment="1">
      <alignment horizontal="right"/>
    </xf>
    <xf numFmtId="0" fontId="0" fillId="6" borderId="0" xfId="0" applyFill="1" applyAlignment="1">
      <alignment horizontal="left" vertical="center"/>
    </xf>
    <xf numFmtId="0" fontId="0" fillId="2" borderId="0" xfId="0" applyFill="1" applyAlignment="1">
      <alignment horizontal="left"/>
    </xf>
    <xf numFmtId="0" fontId="0" fillId="9" borderId="0" xfId="0" applyFill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2" fontId="0" fillId="2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1857375</xdr:colOff>
      <xdr:row>8</xdr:row>
      <xdr:rowOff>161568</xdr:rowOff>
    </xdr:from>
    <xdr:to>
      <xdr:col>8</xdr:col>
      <xdr:colOff>174624</xdr:colOff>
      <xdr:row>23</xdr:row>
      <xdr:rowOff>5844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2A3E167-EA01-65CC-AC6B-A2B60977F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0" y="2074506"/>
          <a:ext cx="6349999" cy="2685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BF2D9-BE11-42A5-97B4-2432D9446036}">
  <dimension ref="A1:K21"/>
  <sheetViews>
    <sheetView topLeftCell="A4" zoomScale="80" zoomScaleNormal="80" workbookViewId="0">
      <selection activeCell="B19" sqref="B19"/>
    </sheetView>
  </sheetViews>
  <sheetFormatPr baseColWidth="10" defaultColWidth="10.81640625" defaultRowHeight="14.5" x14ac:dyDescent="0.35"/>
  <cols>
    <col min="1" max="1" width="21.08984375" style="3" customWidth="1"/>
    <col min="2" max="2" width="24.54296875" style="3" bestFit="1" customWidth="1"/>
    <col min="3" max="3" width="27.54296875" style="3" customWidth="1"/>
    <col min="4" max="4" width="16.1796875" style="3" customWidth="1"/>
    <col min="5" max="5" width="18.08984375" style="3" customWidth="1"/>
    <col min="6" max="6" width="20.1796875" style="3" customWidth="1"/>
    <col min="7" max="7" width="17.36328125" style="3" customWidth="1"/>
    <col min="8" max="8" width="15.6328125" style="3" customWidth="1"/>
    <col min="9" max="9" width="10.453125" style="3" customWidth="1"/>
    <col min="10" max="10" width="14.453125" style="3" customWidth="1"/>
    <col min="11" max="11" width="16.1796875" style="1" bestFit="1" customWidth="1"/>
    <col min="12" max="16384" width="10.81640625" style="1"/>
  </cols>
  <sheetData>
    <row r="1" spans="1:1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s="1" t="s">
        <v>114</v>
      </c>
    </row>
    <row r="2" spans="1:11" x14ac:dyDescent="0.35">
      <c r="A2" s="3" t="s">
        <v>9</v>
      </c>
      <c r="B2" s="3">
        <v>84</v>
      </c>
      <c r="D2" s="3">
        <v>101</v>
      </c>
      <c r="H2" s="3">
        <f>SUM(D2:G2)</f>
        <v>101</v>
      </c>
      <c r="K2" s="1" t="s">
        <v>115</v>
      </c>
    </row>
    <row r="3" spans="1:11" x14ac:dyDescent="0.35">
      <c r="A3" s="3" t="s">
        <v>10</v>
      </c>
      <c r="B3" s="3">
        <v>88</v>
      </c>
      <c r="D3" s="3">
        <f>75+53</f>
        <v>128</v>
      </c>
      <c r="H3" s="3">
        <f t="shared" ref="H3:H6" si="0">SUM(D3:G3)</f>
        <v>128</v>
      </c>
    </row>
    <row r="4" spans="1:11" x14ac:dyDescent="0.35">
      <c r="A4" s="3" t="s">
        <v>11</v>
      </c>
      <c r="D4" s="3">
        <v>174</v>
      </c>
      <c r="H4" s="3">
        <f t="shared" si="0"/>
        <v>174</v>
      </c>
    </row>
    <row r="5" spans="1:11" ht="48" x14ac:dyDescent="0.35">
      <c r="A5" s="9" t="s">
        <v>12</v>
      </c>
      <c r="B5" s="9">
        <v>545</v>
      </c>
      <c r="C5" s="31" t="s">
        <v>99</v>
      </c>
      <c r="D5" s="9">
        <v>159</v>
      </c>
      <c r="E5" s="9">
        <v>41</v>
      </c>
      <c r="F5" s="9">
        <v>54</v>
      </c>
      <c r="G5" s="9"/>
      <c r="H5" s="9">
        <f t="shared" si="0"/>
        <v>254</v>
      </c>
      <c r="J5" s="3" t="s">
        <v>13</v>
      </c>
    </row>
    <row r="6" spans="1:11" ht="15" thickBot="1" x14ac:dyDescent="0.4">
      <c r="A6" s="3" t="s">
        <v>14</v>
      </c>
      <c r="B6" s="3">
        <v>283</v>
      </c>
      <c r="D6" s="24">
        <v>85</v>
      </c>
      <c r="E6" s="24"/>
      <c r="F6" s="24"/>
      <c r="G6" s="24">
        <v>2.2999999999999998</v>
      </c>
      <c r="H6" s="24">
        <f t="shared" si="0"/>
        <v>87.3</v>
      </c>
      <c r="I6" s="3">
        <v>13</v>
      </c>
      <c r="J6" s="9">
        <f>H5*1.5</f>
        <v>381</v>
      </c>
    </row>
    <row r="7" spans="1:11" ht="15" thickTop="1" x14ac:dyDescent="0.35">
      <c r="D7" s="3">
        <f>SUM(D2:D6)</f>
        <v>647</v>
      </c>
      <c r="E7" s="3">
        <f>SUM(E2:E5)</f>
        <v>41</v>
      </c>
      <c r="F7" s="3">
        <f>SUM(F2:F5)</f>
        <v>54</v>
      </c>
      <c r="H7" s="3">
        <f>SUM(H2:H6)</f>
        <v>744.3</v>
      </c>
    </row>
    <row r="8" spans="1:11" ht="15" thickBot="1" x14ac:dyDescent="0.4">
      <c r="A8" s="47" t="s">
        <v>113</v>
      </c>
      <c r="B8" s="47"/>
    </row>
    <row r="9" spans="1:11" ht="15" thickTop="1" x14ac:dyDescent="0.35">
      <c r="A9" s="32" t="s">
        <v>15</v>
      </c>
      <c r="B9" s="32" t="s">
        <v>16</v>
      </c>
    </row>
    <row r="10" spans="1:11" x14ac:dyDescent="0.35">
      <c r="A10" s="32">
        <v>283</v>
      </c>
      <c r="B10" s="32">
        <v>87.3</v>
      </c>
    </row>
    <row r="11" spans="1:11" x14ac:dyDescent="0.35">
      <c r="A11" s="43">
        <v>655</v>
      </c>
      <c r="B11" s="33">
        <f>ROUNDDOWN(A11*B10/A10,0)</f>
        <v>202</v>
      </c>
    </row>
    <row r="13" spans="1:11" ht="15" thickBot="1" x14ac:dyDescent="0.4">
      <c r="A13" s="41" t="s">
        <v>17</v>
      </c>
      <c r="B13" s="34"/>
      <c r="D13" s="40" t="s">
        <v>15</v>
      </c>
      <c r="E13" s="37" t="s">
        <v>18</v>
      </c>
      <c r="F13" s="40" t="s">
        <v>19</v>
      </c>
      <c r="G13" s="37" t="s">
        <v>20</v>
      </c>
      <c r="H13" s="37" t="s">
        <v>21</v>
      </c>
    </row>
    <row r="14" spans="1:11" ht="15" thickTop="1" x14ac:dyDescent="0.35">
      <c r="A14" s="32" t="s">
        <v>22</v>
      </c>
      <c r="B14" s="32" t="s">
        <v>23</v>
      </c>
      <c r="D14" s="38">
        <v>790</v>
      </c>
      <c r="E14" s="38" t="s">
        <v>24</v>
      </c>
      <c r="F14" s="38">
        <v>3.8</v>
      </c>
      <c r="G14" s="39">
        <v>21</v>
      </c>
      <c r="H14" s="37">
        <f>5*F14</f>
        <v>19</v>
      </c>
    </row>
    <row r="15" spans="1:11" x14ac:dyDescent="0.35">
      <c r="A15" s="32" t="s">
        <v>25</v>
      </c>
      <c r="B15" s="32" t="s">
        <v>26</v>
      </c>
      <c r="D15" s="36"/>
    </row>
    <row r="16" spans="1:11" ht="20" customHeight="1" thickBot="1" x14ac:dyDescent="0.4">
      <c r="A16" s="41" t="s">
        <v>17</v>
      </c>
      <c r="B16" s="34"/>
    </row>
    <row r="17" spans="1:8" ht="15" thickTop="1" x14ac:dyDescent="0.35">
      <c r="A17" s="32" t="s">
        <v>15</v>
      </c>
      <c r="B17" s="43">
        <v>945</v>
      </c>
      <c r="E17" s="3" t="s">
        <v>103</v>
      </c>
    </row>
    <row r="18" spans="1:8" x14ac:dyDescent="0.35">
      <c r="A18" s="32" t="s">
        <v>27</v>
      </c>
      <c r="B18" s="43">
        <v>2</v>
      </c>
      <c r="D18" s="9">
        <v>1</v>
      </c>
      <c r="E18" s="9">
        <v>2</v>
      </c>
      <c r="F18" s="9">
        <v>3</v>
      </c>
      <c r="G18" s="9">
        <v>4</v>
      </c>
      <c r="H18" s="9">
        <v>5</v>
      </c>
    </row>
    <row r="19" spans="1:8" x14ac:dyDescent="0.35">
      <c r="A19" s="32" t="s">
        <v>28</v>
      </c>
      <c r="B19" s="33">
        <f>B17/21/B18</f>
        <v>22.5</v>
      </c>
      <c r="E19" s="3" t="s">
        <v>12</v>
      </c>
      <c r="F19" s="3" t="s">
        <v>100</v>
      </c>
      <c r="G19" s="3" t="s">
        <v>14</v>
      </c>
    </row>
    <row r="20" spans="1:8" x14ac:dyDescent="0.35">
      <c r="E20" s="3" t="s">
        <v>101</v>
      </c>
    </row>
    <row r="21" spans="1:8" x14ac:dyDescent="0.35">
      <c r="E21" s="48" t="s">
        <v>102</v>
      </c>
      <c r="F21" s="48"/>
    </row>
  </sheetData>
  <mergeCells count="2">
    <mergeCell ref="A8:B8"/>
    <mergeCell ref="E21:F21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B249E-7990-4C75-A4D9-6187C72FC3BF}">
  <dimension ref="A1:K31"/>
  <sheetViews>
    <sheetView zoomScale="70" zoomScaleNormal="70" workbookViewId="0">
      <selection activeCell="H3" sqref="H3"/>
    </sheetView>
  </sheetViews>
  <sheetFormatPr baseColWidth="10" defaultColWidth="10.81640625" defaultRowHeight="14.5" x14ac:dyDescent="0.35"/>
  <cols>
    <col min="1" max="1" width="28.54296875" style="3" customWidth="1"/>
    <col min="2" max="2" width="18.453125" style="3" customWidth="1"/>
    <col min="3" max="3" width="16.453125" style="1" customWidth="1"/>
    <col min="4" max="4" width="15.7265625" style="3" customWidth="1"/>
    <col min="5" max="5" width="18.26953125" style="3" customWidth="1"/>
    <col min="6" max="6" width="10.81640625" style="3"/>
    <col min="7" max="7" width="14.1796875" style="3" customWidth="1"/>
    <col min="8" max="8" width="14.453125" style="3" bestFit="1" customWidth="1"/>
    <col min="9" max="9" width="13.54296875" style="1" customWidth="1"/>
    <col min="10" max="10" width="14.81640625" style="1" customWidth="1"/>
    <col min="11" max="11" width="12.54296875" style="1" customWidth="1"/>
    <col min="12" max="16384" width="10.81640625" style="1"/>
  </cols>
  <sheetData>
    <row r="1" spans="1:11" x14ac:dyDescent="0.35">
      <c r="A1" s="3" t="s">
        <v>29</v>
      </c>
      <c r="B1" s="3" t="s">
        <v>30</v>
      </c>
      <c r="G1" s="3" t="s">
        <v>31</v>
      </c>
      <c r="J1" s="3" t="s">
        <v>29</v>
      </c>
      <c r="K1" s="3"/>
    </row>
    <row r="2" spans="1:11" x14ac:dyDescent="0.35">
      <c r="A2" s="4" t="s">
        <v>0</v>
      </c>
      <c r="B2" s="4" t="s">
        <v>32</v>
      </c>
      <c r="D2" s="4" t="s">
        <v>0</v>
      </c>
      <c r="E2" s="4" t="s">
        <v>32</v>
      </c>
      <c r="G2" s="4" t="s">
        <v>33</v>
      </c>
      <c r="H2" s="4" t="s">
        <v>32</v>
      </c>
      <c r="J2" s="4" t="s">
        <v>34</v>
      </c>
      <c r="K2" s="4" t="s">
        <v>32</v>
      </c>
    </row>
    <row r="3" spans="1:11" ht="43.5" x14ac:dyDescent="0.35">
      <c r="A3" s="4" t="s">
        <v>12</v>
      </c>
      <c r="B3" s="4">
        <v>545</v>
      </c>
      <c r="D3" s="4" t="s">
        <v>35</v>
      </c>
      <c r="E3" s="4"/>
      <c r="G3" s="6" t="s">
        <v>36</v>
      </c>
      <c r="H3" s="4">
        <v>213</v>
      </c>
      <c r="J3" s="4" t="s">
        <v>37</v>
      </c>
      <c r="K3" s="4">
        <v>202</v>
      </c>
    </row>
    <row r="4" spans="1:11" ht="43.5" x14ac:dyDescent="0.35">
      <c r="G4" s="6" t="s">
        <v>38</v>
      </c>
      <c r="H4" s="4">
        <v>288</v>
      </c>
    </row>
    <row r="7" spans="1:11" x14ac:dyDescent="0.35">
      <c r="A7" s="3" t="s">
        <v>29</v>
      </c>
      <c r="B7" s="3" t="s">
        <v>30</v>
      </c>
    </row>
    <row r="8" spans="1:11" x14ac:dyDescent="0.35">
      <c r="A8" s="8" t="s">
        <v>14</v>
      </c>
      <c r="B8" s="8" t="s">
        <v>32</v>
      </c>
    </row>
    <row r="9" spans="1:11" x14ac:dyDescent="0.35">
      <c r="A9" s="6" t="s">
        <v>39</v>
      </c>
      <c r="B9" s="4">
        <f>450</f>
        <v>450</v>
      </c>
    </row>
    <row r="10" spans="1:11" x14ac:dyDescent="0.35">
      <c r="A10" s="27" t="s">
        <v>40</v>
      </c>
      <c r="B10" s="28">
        <v>300</v>
      </c>
    </row>
    <row r="11" spans="1:11" ht="29" x14ac:dyDescent="0.35">
      <c r="A11" s="6" t="s">
        <v>41</v>
      </c>
      <c r="B11" s="4">
        <v>110</v>
      </c>
    </row>
    <row r="12" spans="1:11" x14ac:dyDescent="0.35">
      <c r="A12" s="6" t="s">
        <v>42</v>
      </c>
      <c r="B12" s="4">
        <v>60</v>
      </c>
    </row>
    <row r="13" spans="1:11" x14ac:dyDescent="0.35">
      <c r="B13" s="9">
        <f>SUM(B9:B12)</f>
        <v>920</v>
      </c>
    </row>
    <row r="15" spans="1:11" x14ac:dyDescent="0.35">
      <c r="A15" s="50" t="s">
        <v>43</v>
      </c>
      <c r="B15" s="4" t="s">
        <v>44</v>
      </c>
      <c r="C15" s="4" t="s">
        <v>45</v>
      </c>
      <c r="D15" s="11" t="s">
        <v>46</v>
      </c>
      <c r="E15" s="4" t="s">
        <v>47</v>
      </c>
      <c r="F15" s="4" t="s">
        <v>48</v>
      </c>
    </row>
    <row r="16" spans="1:11" x14ac:dyDescent="0.35">
      <c r="A16" s="51"/>
      <c r="B16" s="4">
        <v>3</v>
      </c>
      <c r="C16" s="4">
        <v>10</v>
      </c>
      <c r="D16" s="5">
        <f>C16/10</f>
        <v>1</v>
      </c>
      <c r="E16" s="7">
        <f>C16/22</f>
        <v>0.45454545454545453</v>
      </c>
      <c r="F16" s="5">
        <f>C16/5</f>
        <v>2</v>
      </c>
    </row>
    <row r="17" spans="1:11" x14ac:dyDescent="0.35">
      <c r="D17" s="1"/>
      <c r="E17" s="1"/>
      <c r="F17" s="1"/>
    </row>
    <row r="18" spans="1:11" x14ac:dyDescent="0.35">
      <c r="A18" s="49" t="s">
        <v>49</v>
      </c>
      <c r="B18" s="49"/>
      <c r="C18" s="49"/>
      <c r="D18" s="49"/>
      <c r="E18" s="49"/>
      <c r="F18" s="49"/>
    </row>
    <row r="19" spans="1:11" x14ac:dyDescent="0.35">
      <c r="A19" s="4" t="s">
        <v>44</v>
      </c>
      <c r="B19" s="4" t="s">
        <v>50</v>
      </c>
      <c r="C19" s="5" t="s">
        <v>15</v>
      </c>
      <c r="D19" s="4" t="s">
        <v>45</v>
      </c>
      <c r="E19" s="4" t="s">
        <v>46</v>
      </c>
      <c r="F19" s="4" t="s">
        <v>47</v>
      </c>
      <c r="G19" s="4" t="s">
        <v>48</v>
      </c>
      <c r="I19" s="4" t="s">
        <v>51</v>
      </c>
      <c r="J19" s="5" t="s">
        <v>15</v>
      </c>
      <c r="K19" s="5" t="s">
        <v>52</v>
      </c>
    </row>
    <row r="20" spans="1:11" x14ac:dyDescent="0.35">
      <c r="A20" s="4">
        <v>3</v>
      </c>
      <c r="B20" s="4">
        <v>6</v>
      </c>
      <c r="C20" s="10">
        <f>B13+K20</f>
        <v>1235</v>
      </c>
      <c r="D20" s="7">
        <f xml:space="preserve"> C20/(B20*A20)</f>
        <v>68.611111111111114</v>
      </c>
      <c r="E20" s="7">
        <f>D20/10</f>
        <v>6.8611111111111116</v>
      </c>
      <c r="F20" s="7">
        <f>D20/22</f>
        <v>3.118686868686869</v>
      </c>
      <c r="G20" s="5">
        <f>D20/5</f>
        <v>13.722222222222223</v>
      </c>
      <c r="I20" s="4">
        <v>9</v>
      </c>
      <c r="J20" s="5">
        <v>35</v>
      </c>
      <c r="K20" s="5">
        <f>I20*J20</f>
        <v>315</v>
      </c>
    </row>
    <row r="21" spans="1:11" x14ac:dyDescent="0.35">
      <c r="G21" s="1"/>
      <c r="H21" s="1"/>
    </row>
    <row r="22" spans="1:11" x14ac:dyDescent="0.35">
      <c r="A22" s="50" t="s">
        <v>53</v>
      </c>
      <c r="B22" s="4" t="s">
        <v>44</v>
      </c>
      <c r="C22" s="4" t="s">
        <v>50</v>
      </c>
      <c r="D22" s="5" t="s">
        <v>54</v>
      </c>
      <c r="E22" s="4" t="s">
        <v>45</v>
      </c>
      <c r="F22" s="4" t="s">
        <v>46</v>
      </c>
      <c r="G22" s="4" t="s">
        <v>47</v>
      </c>
      <c r="H22" s="4" t="s">
        <v>48</v>
      </c>
    </row>
    <row r="23" spans="1:11" x14ac:dyDescent="0.35">
      <c r="A23" s="51"/>
      <c r="B23" s="4">
        <v>3</v>
      </c>
      <c r="C23" s="4">
        <v>6</v>
      </c>
      <c r="D23" s="10">
        <v>300</v>
      </c>
      <c r="E23" s="7">
        <f xml:space="preserve"> D23/(C23*B23)</f>
        <v>16.666666666666668</v>
      </c>
      <c r="F23" s="7">
        <f>E23/10</f>
        <v>1.6666666666666667</v>
      </c>
      <c r="G23" s="7">
        <f>E23/22</f>
        <v>0.75757575757575768</v>
      </c>
      <c r="H23" s="5">
        <f>E23/5</f>
        <v>3.3333333333333335</v>
      </c>
    </row>
    <row r="25" spans="1:11" x14ac:dyDescent="0.35">
      <c r="A25" s="50" t="s">
        <v>55</v>
      </c>
      <c r="B25" s="4" t="s">
        <v>44</v>
      </c>
      <c r="C25" s="4" t="s">
        <v>45</v>
      </c>
      <c r="D25" s="4" t="s">
        <v>46</v>
      </c>
      <c r="E25" s="4" t="s">
        <v>47</v>
      </c>
      <c r="F25" s="4" t="s">
        <v>48</v>
      </c>
    </row>
    <row r="26" spans="1:11" x14ac:dyDescent="0.35">
      <c r="A26" s="51"/>
      <c r="B26" s="4">
        <v>1</v>
      </c>
      <c r="C26" s="7">
        <v>5</v>
      </c>
      <c r="D26" s="4">
        <f>C26/10</f>
        <v>0.5</v>
      </c>
      <c r="E26" s="7">
        <f>C26/22</f>
        <v>0.22727272727272727</v>
      </c>
      <c r="F26" s="5">
        <f>C26/5</f>
        <v>1</v>
      </c>
    </row>
    <row r="28" spans="1:11" x14ac:dyDescent="0.35">
      <c r="D28" s="4" t="s">
        <v>45</v>
      </c>
      <c r="E28" s="4" t="s">
        <v>46</v>
      </c>
      <c r="F28" s="4" t="s">
        <v>47</v>
      </c>
      <c r="G28" s="4" t="s">
        <v>48</v>
      </c>
    </row>
    <row r="29" spans="1:11" x14ac:dyDescent="0.35">
      <c r="D29" s="7">
        <f>ROUNDUP(C16+D20+E23+C26,0)</f>
        <v>101</v>
      </c>
      <c r="E29" s="7">
        <f>ROUNDUP(D16+E20+F23+D26,0)</f>
        <v>11</v>
      </c>
      <c r="F29" s="7">
        <f>ROUNDUP(E16+F20+G23+E26,0)</f>
        <v>5</v>
      </c>
      <c r="G29" s="7">
        <f>ROUNDUP(D29/5,0)</f>
        <v>21</v>
      </c>
    </row>
    <row r="31" spans="1:11" x14ac:dyDescent="0.35">
      <c r="G31" s="1" t="s">
        <v>56</v>
      </c>
    </row>
  </sheetData>
  <mergeCells count="4">
    <mergeCell ref="A18:F18"/>
    <mergeCell ref="A22:A23"/>
    <mergeCell ref="A15:A16"/>
    <mergeCell ref="A25:A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657EC-09CC-48A0-B1A2-59A7C8FE68F5}">
  <dimension ref="B1:R20"/>
  <sheetViews>
    <sheetView zoomScale="90" zoomScaleNormal="90" workbookViewId="0">
      <selection activeCell="J11" sqref="J11"/>
    </sheetView>
  </sheetViews>
  <sheetFormatPr baseColWidth="10" defaultColWidth="10.81640625" defaultRowHeight="14.5" outlineLevelCol="1" x14ac:dyDescent="0.35"/>
  <cols>
    <col min="1" max="1" width="3.1796875" style="1" customWidth="1"/>
    <col min="2" max="2" width="35.81640625" style="1" customWidth="1"/>
    <col min="3" max="3" width="9.81640625" style="1" customWidth="1"/>
    <col min="4" max="4" width="11.81640625" style="1" customWidth="1"/>
    <col min="5" max="6" width="13" style="1" customWidth="1"/>
    <col min="7" max="7" width="9.1796875" style="1" customWidth="1"/>
    <col min="8" max="8" width="10.1796875" style="1" customWidth="1"/>
    <col min="9" max="9" width="9.1796875" style="1" customWidth="1"/>
    <col min="10" max="10" width="12" style="1" customWidth="1"/>
    <col min="11" max="11" width="11.26953125" style="1" customWidth="1"/>
    <col min="12" max="12" width="2.36328125" style="1" customWidth="1"/>
    <col min="13" max="14" width="10.81640625" style="1" hidden="1" customWidth="1" outlineLevel="1"/>
    <col min="15" max="15" width="2.26953125" style="1" customWidth="1" collapsed="1"/>
    <col min="16" max="16" width="25.26953125" style="1" customWidth="1"/>
    <col min="17" max="17" width="15" style="1" customWidth="1"/>
    <col min="18" max="18" width="15.7265625" style="1" bestFit="1" customWidth="1"/>
    <col min="19" max="16384" width="10.81640625" style="1"/>
  </cols>
  <sheetData>
    <row r="1" spans="2:18" x14ac:dyDescent="0.35">
      <c r="M1" s="46" t="s">
        <v>57</v>
      </c>
      <c r="N1" s="46"/>
    </row>
    <row r="2" spans="2:18" x14ac:dyDescent="0.35">
      <c r="B2" s="16" t="s">
        <v>58</v>
      </c>
      <c r="C2" s="16" t="s">
        <v>44</v>
      </c>
      <c r="D2" s="16" t="s">
        <v>57</v>
      </c>
      <c r="E2" s="16" t="s">
        <v>59</v>
      </c>
      <c r="F2" s="16" t="s">
        <v>60</v>
      </c>
      <c r="G2" s="16" t="s">
        <v>45</v>
      </c>
      <c r="H2" s="16" t="s">
        <v>48</v>
      </c>
      <c r="I2" s="16" t="s">
        <v>46</v>
      </c>
      <c r="J2" s="16" t="s">
        <v>47</v>
      </c>
      <c r="K2" s="16" t="s">
        <v>61</v>
      </c>
      <c r="M2" s="1" t="s">
        <v>62</v>
      </c>
      <c r="N2" s="2">
        <v>8</v>
      </c>
    </row>
    <row r="3" spans="2:18" x14ac:dyDescent="0.35">
      <c r="B3" s="12" t="s">
        <v>63</v>
      </c>
      <c r="C3" s="12">
        <v>3</v>
      </c>
      <c r="D3" s="14" t="s">
        <v>64</v>
      </c>
      <c r="E3" s="14" t="s">
        <v>64</v>
      </c>
      <c r="F3" s="14" t="s">
        <v>64</v>
      </c>
      <c r="G3" s="12">
        <v>15</v>
      </c>
      <c r="H3" s="12">
        <f>G3/5</f>
        <v>3</v>
      </c>
      <c r="I3" s="12">
        <f>G3/10</f>
        <v>1.5</v>
      </c>
      <c r="J3" s="13">
        <f>H3/4</f>
        <v>0.75</v>
      </c>
      <c r="K3" s="12" t="s">
        <v>5</v>
      </c>
      <c r="M3" s="1" t="s">
        <v>65</v>
      </c>
      <c r="N3" s="2">
        <v>5</v>
      </c>
      <c r="Q3" s="1" t="s">
        <v>1</v>
      </c>
      <c r="R3" s="2"/>
    </row>
    <row r="4" spans="2:18" x14ac:dyDescent="0.35">
      <c r="B4" s="12" t="s">
        <v>67</v>
      </c>
      <c r="C4" s="12">
        <v>3</v>
      </c>
      <c r="D4" s="12">
        <v>5</v>
      </c>
      <c r="E4" s="12">
        <f>Q9</f>
        <v>1365</v>
      </c>
      <c r="F4" s="14" t="s">
        <v>64</v>
      </c>
      <c r="G4" s="13">
        <f>E4/(C4*D4)</f>
        <v>91</v>
      </c>
      <c r="H4" s="13">
        <f t="shared" ref="H4:H6" si="0">G4/5</f>
        <v>18.2</v>
      </c>
      <c r="I4" s="13">
        <f t="shared" ref="I4:I6" si="1">G4/10</f>
        <v>9.1</v>
      </c>
      <c r="J4" s="13">
        <f t="shared" ref="J4:J6" si="2">H4/4</f>
        <v>4.55</v>
      </c>
      <c r="K4" s="12" t="s">
        <v>5</v>
      </c>
      <c r="N4" s="2">
        <f>AVERAGE(N2:N3)</f>
        <v>6.5</v>
      </c>
      <c r="P4" s="1" t="s">
        <v>39</v>
      </c>
      <c r="Q4" s="1">
        <v>420</v>
      </c>
    </row>
    <row r="5" spans="2:18" x14ac:dyDescent="0.35">
      <c r="B5" s="12" t="s">
        <v>68</v>
      </c>
      <c r="C5" s="12">
        <v>3</v>
      </c>
      <c r="D5" s="12">
        <v>5</v>
      </c>
      <c r="E5" s="14" t="s">
        <v>64</v>
      </c>
      <c r="F5" s="12">
        <v>421</v>
      </c>
      <c r="G5" s="13">
        <f>F5/(C5*D5)</f>
        <v>28.066666666666666</v>
      </c>
      <c r="H5" s="13">
        <f t="shared" si="0"/>
        <v>5.6133333333333333</v>
      </c>
      <c r="I5" s="13">
        <f t="shared" si="1"/>
        <v>2.8066666666666666</v>
      </c>
      <c r="J5" s="13">
        <f t="shared" si="2"/>
        <v>1.4033333333333333</v>
      </c>
      <c r="K5" s="12" t="s">
        <v>5</v>
      </c>
      <c r="M5" s="1" t="s">
        <v>6</v>
      </c>
      <c r="N5" s="2"/>
      <c r="P5" s="1" t="s">
        <v>40</v>
      </c>
      <c r="Q5" s="1">
        <v>300</v>
      </c>
      <c r="R5" s="42"/>
    </row>
    <row r="6" spans="2:18" ht="15" thickBot="1" x14ac:dyDescent="0.4">
      <c r="B6" s="19" t="s">
        <v>69</v>
      </c>
      <c r="C6" s="19">
        <v>1</v>
      </c>
      <c r="D6" s="20" t="s">
        <v>64</v>
      </c>
      <c r="E6" s="19"/>
      <c r="F6" s="19"/>
      <c r="G6" s="19">
        <v>5</v>
      </c>
      <c r="H6" s="19">
        <f t="shared" si="0"/>
        <v>1</v>
      </c>
      <c r="I6" s="19">
        <f t="shared" si="1"/>
        <v>0.5</v>
      </c>
      <c r="J6" s="21">
        <f t="shared" si="2"/>
        <v>0.25</v>
      </c>
      <c r="K6" s="19" t="s">
        <v>5</v>
      </c>
      <c r="M6" s="1" t="s">
        <v>62</v>
      </c>
      <c r="N6" s="2">
        <v>6</v>
      </c>
      <c r="P6" s="1" t="s">
        <v>41</v>
      </c>
      <c r="Q6" s="1">
        <v>180</v>
      </c>
    </row>
    <row r="7" spans="2:18" ht="15" thickTop="1" x14ac:dyDescent="0.35">
      <c r="B7" s="22" t="s">
        <v>7</v>
      </c>
      <c r="C7" s="22"/>
      <c r="D7" s="22"/>
      <c r="E7" s="22"/>
      <c r="F7" s="22"/>
      <c r="G7" s="18">
        <f>ROUNDUP(SUM(G3:G6),0)</f>
        <v>140</v>
      </c>
      <c r="H7" s="30">
        <f t="shared" ref="H7:J7" si="3">ROUNDUP(SUM(H3:H6),0)</f>
        <v>28</v>
      </c>
      <c r="I7" s="18">
        <f t="shared" si="3"/>
        <v>14</v>
      </c>
      <c r="J7" s="18">
        <f t="shared" si="3"/>
        <v>7</v>
      </c>
      <c r="K7" s="22"/>
      <c r="M7" s="1" t="s">
        <v>65</v>
      </c>
      <c r="N7" s="2">
        <v>4</v>
      </c>
      <c r="P7" s="1" t="s">
        <v>42</v>
      </c>
      <c r="Q7" s="1">
        <v>150</v>
      </c>
    </row>
    <row r="8" spans="2:18" ht="15" thickBot="1" x14ac:dyDescent="0.4">
      <c r="G8" s="26"/>
      <c r="H8" s="26"/>
      <c r="I8" s="26"/>
      <c r="J8" s="26"/>
      <c r="N8" s="2">
        <f>AVERAGE(N6:N7)</f>
        <v>5</v>
      </c>
      <c r="P8" s="1" t="s">
        <v>70</v>
      </c>
      <c r="Q8" s="29">
        <f>35*9</f>
        <v>315</v>
      </c>
    </row>
    <row r="9" spans="2:18" ht="15" thickTop="1" x14ac:dyDescent="0.35">
      <c r="B9" s="17" t="s">
        <v>71</v>
      </c>
      <c r="M9" s="1" t="s">
        <v>72</v>
      </c>
      <c r="Q9" s="1">
        <f>SUM(Q4:Q8)</f>
        <v>1365</v>
      </c>
    </row>
    <row r="10" spans="2:18" x14ac:dyDescent="0.35">
      <c r="B10" s="25" t="s">
        <v>73</v>
      </c>
      <c r="M10" s="1" t="s">
        <v>74</v>
      </c>
      <c r="N10" s="2">
        <f>AVERAGE(N2,N6)</f>
        <v>7</v>
      </c>
    </row>
    <row r="11" spans="2:18" x14ac:dyDescent="0.35">
      <c r="B11" s="25" t="s">
        <v>75</v>
      </c>
      <c r="M11" s="1" t="s">
        <v>76</v>
      </c>
      <c r="N11" s="2">
        <f>AVERAGE(N3,N7)</f>
        <v>4.5</v>
      </c>
    </row>
    <row r="12" spans="2:18" x14ac:dyDescent="0.35">
      <c r="B12" s="25" t="s">
        <v>77</v>
      </c>
    </row>
    <row r="13" spans="2:18" ht="15.65" customHeight="1" x14ac:dyDescent="0.35">
      <c r="B13" s="25" t="s">
        <v>78</v>
      </c>
      <c r="M13" s="15" t="s">
        <v>79</v>
      </c>
      <c r="N13" s="3">
        <f>AVERAGE(N4,N8)</f>
        <v>5.75</v>
      </c>
    </row>
    <row r="14" spans="2:18" x14ac:dyDescent="0.35">
      <c r="B14" s="25" t="s">
        <v>80</v>
      </c>
    </row>
    <row r="15" spans="2:18" x14ac:dyDescent="0.35">
      <c r="B15" s="25" t="s">
        <v>81</v>
      </c>
    </row>
    <row r="16" spans="2:18" ht="7.5" customHeight="1" x14ac:dyDescent="0.35"/>
    <row r="17" spans="2:2" x14ac:dyDescent="0.35">
      <c r="B17" s="23" t="s">
        <v>82</v>
      </c>
    </row>
    <row r="18" spans="2:2" x14ac:dyDescent="0.35">
      <c r="B18" s="23" t="s">
        <v>83</v>
      </c>
    </row>
    <row r="19" spans="2:2" x14ac:dyDescent="0.35">
      <c r="B19" s="23" t="s">
        <v>84</v>
      </c>
    </row>
    <row r="20" spans="2:2" x14ac:dyDescent="0.35">
      <c r="B20" s="23" t="s">
        <v>85</v>
      </c>
    </row>
  </sheetData>
  <mergeCells count="1">
    <mergeCell ref="M1:N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5D583-2598-4710-901B-C4A5F06AA3E7}">
  <dimension ref="B1:Q20"/>
  <sheetViews>
    <sheetView zoomScale="90" zoomScaleNormal="90" workbookViewId="0">
      <selection activeCell="Q3" sqref="Q3"/>
    </sheetView>
  </sheetViews>
  <sheetFormatPr baseColWidth="10" defaultColWidth="10.81640625" defaultRowHeight="14.5" outlineLevelCol="1" x14ac:dyDescent="0.35"/>
  <cols>
    <col min="1" max="1" width="3.1796875" style="1" customWidth="1"/>
    <col min="2" max="2" width="35.81640625" style="1" customWidth="1"/>
    <col min="3" max="3" width="9.81640625" style="1" customWidth="1"/>
    <col min="4" max="4" width="11.81640625" style="1" customWidth="1"/>
    <col min="5" max="6" width="13" style="1" customWidth="1"/>
    <col min="7" max="7" width="9.1796875" style="1" customWidth="1"/>
    <col min="8" max="8" width="10.1796875" style="1" customWidth="1"/>
    <col min="9" max="9" width="9.1796875" style="1" customWidth="1"/>
    <col min="10" max="10" width="12" style="1" customWidth="1"/>
    <col min="11" max="11" width="11.26953125" style="1" customWidth="1"/>
    <col min="12" max="12" width="4.453125" style="1" customWidth="1"/>
    <col min="13" max="14" width="10.81640625" style="1" hidden="1" customWidth="1" outlineLevel="1"/>
    <col min="15" max="15" width="4.81640625" style="1" customWidth="1" collapsed="1"/>
    <col min="16" max="16" width="16.81640625" style="1" bestFit="1" customWidth="1"/>
    <col min="17" max="17" width="15.1796875" style="1" customWidth="1"/>
    <col min="18" max="16384" width="10.81640625" style="1"/>
  </cols>
  <sheetData>
    <row r="1" spans="2:17" x14ac:dyDescent="0.35">
      <c r="M1" s="46" t="s">
        <v>57</v>
      </c>
      <c r="N1" s="46"/>
    </row>
    <row r="2" spans="2:17" x14ac:dyDescent="0.35">
      <c r="B2" s="16" t="s">
        <v>58</v>
      </c>
      <c r="C2" s="16" t="s">
        <v>44</v>
      </c>
      <c r="D2" s="16" t="s">
        <v>57</v>
      </c>
      <c r="E2" s="16" t="s">
        <v>59</v>
      </c>
      <c r="F2" s="16" t="s">
        <v>60</v>
      </c>
      <c r="G2" s="16" t="s">
        <v>45</v>
      </c>
      <c r="H2" s="16" t="s">
        <v>48</v>
      </c>
      <c r="I2" s="16" t="s">
        <v>46</v>
      </c>
      <c r="J2" s="16" t="s">
        <v>47</v>
      </c>
      <c r="K2" s="16" t="s">
        <v>61</v>
      </c>
      <c r="M2" s="1" t="s">
        <v>62</v>
      </c>
      <c r="N2" s="2">
        <v>8</v>
      </c>
    </row>
    <row r="3" spans="2:17" x14ac:dyDescent="0.35">
      <c r="B3" s="12" t="s">
        <v>63</v>
      </c>
      <c r="C3" s="12">
        <v>3</v>
      </c>
      <c r="D3" s="14" t="s">
        <v>64</v>
      </c>
      <c r="E3" s="14" t="s">
        <v>64</v>
      </c>
      <c r="F3" s="14" t="s">
        <v>64</v>
      </c>
      <c r="G3" s="12">
        <v>18</v>
      </c>
      <c r="H3" s="12">
        <f>G3/5</f>
        <v>3.6</v>
      </c>
      <c r="I3" s="12">
        <f>G3/10</f>
        <v>1.8</v>
      </c>
      <c r="J3" s="13">
        <f>G3/22</f>
        <v>0.81818181818181823</v>
      </c>
      <c r="K3" s="12" t="s">
        <v>5</v>
      </c>
      <c r="M3" s="1" t="s">
        <v>65</v>
      </c>
      <c r="N3" s="2">
        <v>5</v>
      </c>
      <c r="Q3" s="1" t="s">
        <v>1</v>
      </c>
    </row>
    <row r="4" spans="2:17" x14ac:dyDescent="0.35">
      <c r="B4" s="12" t="s">
        <v>67</v>
      </c>
      <c r="C4" s="12">
        <v>3</v>
      </c>
      <c r="D4" s="12">
        <v>5</v>
      </c>
      <c r="E4" s="12">
        <f>Q10</f>
        <v>1086</v>
      </c>
      <c r="F4" s="14" t="s">
        <v>64</v>
      </c>
      <c r="G4" s="13">
        <f>E4/(C4*D4)</f>
        <v>72.400000000000006</v>
      </c>
      <c r="H4" s="13">
        <f t="shared" ref="H4:H6" si="0">G4/5</f>
        <v>14.48</v>
      </c>
      <c r="I4" s="13">
        <f t="shared" ref="I4:I6" si="1">G4/10</f>
        <v>7.24</v>
      </c>
      <c r="J4" s="13">
        <f t="shared" ref="J4:J6" si="2">G4/22</f>
        <v>3.290909090909091</v>
      </c>
      <c r="K4" s="12" t="s">
        <v>5</v>
      </c>
      <c r="N4" s="2">
        <f>AVERAGE(N2:N3)</f>
        <v>6.5</v>
      </c>
      <c r="P4" s="1" t="s">
        <v>86</v>
      </c>
      <c r="Q4" s="1">
        <v>300</v>
      </c>
    </row>
    <row r="5" spans="2:17" x14ac:dyDescent="0.35">
      <c r="B5" s="12" t="s">
        <v>68</v>
      </c>
      <c r="C5" s="12">
        <v>3</v>
      </c>
      <c r="D5" s="12">
        <v>5</v>
      </c>
      <c r="E5" s="14" t="s">
        <v>64</v>
      </c>
      <c r="F5" s="12">
        <v>335</v>
      </c>
      <c r="G5" s="13">
        <f>F5/(C5*D5)</f>
        <v>22.333333333333332</v>
      </c>
      <c r="H5" s="13">
        <f t="shared" si="0"/>
        <v>4.4666666666666668</v>
      </c>
      <c r="I5" s="13">
        <f t="shared" si="1"/>
        <v>2.2333333333333334</v>
      </c>
      <c r="J5" s="13">
        <f t="shared" si="2"/>
        <v>1.0151515151515151</v>
      </c>
      <c r="K5" s="12" t="s">
        <v>5</v>
      </c>
      <c r="M5" s="1" t="s">
        <v>6</v>
      </c>
      <c r="N5" s="2"/>
      <c r="P5" s="1" t="s">
        <v>87</v>
      </c>
      <c r="Q5" s="1">
        <v>300</v>
      </c>
    </row>
    <row r="6" spans="2:17" ht="15" thickBot="1" x14ac:dyDescent="0.4">
      <c r="B6" s="19" t="s">
        <v>69</v>
      </c>
      <c r="C6" s="19">
        <v>1</v>
      </c>
      <c r="D6" s="20" t="s">
        <v>64</v>
      </c>
      <c r="E6" s="19"/>
      <c r="F6" s="19"/>
      <c r="G6" s="19">
        <v>5</v>
      </c>
      <c r="H6" s="19">
        <f t="shared" si="0"/>
        <v>1</v>
      </c>
      <c r="I6" s="19">
        <f t="shared" si="1"/>
        <v>0.5</v>
      </c>
      <c r="J6" s="21">
        <f t="shared" si="2"/>
        <v>0.22727272727272727</v>
      </c>
      <c r="K6" s="19" t="s">
        <v>5</v>
      </c>
      <c r="M6" s="1" t="s">
        <v>62</v>
      </c>
      <c r="N6" s="2">
        <v>6</v>
      </c>
      <c r="P6" s="1" t="s">
        <v>70</v>
      </c>
      <c r="Q6" s="1">
        <f>35*9</f>
        <v>315</v>
      </c>
    </row>
    <row r="7" spans="2:17" ht="15" thickTop="1" x14ac:dyDescent="0.35">
      <c r="B7" s="22" t="s">
        <v>7</v>
      </c>
      <c r="C7" s="22"/>
      <c r="D7" s="22"/>
      <c r="E7" s="22"/>
      <c r="F7" s="22"/>
      <c r="G7" s="18">
        <f>ROUNDUP(SUM(G3:G6),0)</f>
        <v>118</v>
      </c>
      <c r="H7" s="30">
        <f t="shared" ref="H7:J7" si="3">ROUNDUP(SUM(H3:H6),0)</f>
        <v>24</v>
      </c>
      <c r="I7" s="18">
        <f t="shared" si="3"/>
        <v>12</v>
      </c>
      <c r="J7" s="18">
        <f t="shared" si="3"/>
        <v>6</v>
      </c>
      <c r="K7" s="22"/>
      <c r="M7" s="1" t="s">
        <v>65</v>
      </c>
      <c r="N7" s="2">
        <v>4</v>
      </c>
      <c r="P7" s="1" t="s">
        <v>88</v>
      </c>
      <c r="Q7" s="1">
        <v>80</v>
      </c>
    </row>
    <row r="8" spans="2:17" x14ac:dyDescent="0.35">
      <c r="N8" s="2">
        <f>AVERAGE(N6:N7)</f>
        <v>5</v>
      </c>
      <c r="P8" s="1" t="s">
        <v>89</v>
      </c>
      <c r="Q8" s="1">
        <v>70</v>
      </c>
    </row>
    <row r="9" spans="2:17" x14ac:dyDescent="0.35">
      <c r="B9" s="17" t="s">
        <v>71</v>
      </c>
      <c r="M9" s="1" t="s">
        <v>72</v>
      </c>
      <c r="P9" s="1" t="s">
        <v>90</v>
      </c>
      <c r="Q9" s="1">
        <v>21</v>
      </c>
    </row>
    <row r="10" spans="2:17" x14ac:dyDescent="0.35">
      <c r="B10" s="25" t="s">
        <v>73</v>
      </c>
      <c r="M10" s="1" t="s">
        <v>74</v>
      </c>
      <c r="N10" s="2">
        <f>AVERAGE(N2,N6)</f>
        <v>7</v>
      </c>
      <c r="Q10" s="1">
        <f>SUM(Q4:Q9)</f>
        <v>1086</v>
      </c>
    </row>
    <row r="11" spans="2:17" x14ac:dyDescent="0.35">
      <c r="B11" s="25" t="s">
        <v>75</v>
      </c>
      <c r="M11" s="1" t="s">
        <v>76</v>
      </c>
      <c r="N11" s="2">
        <f>AVERAGE(N3,N7)</f>
        <v>4.5</v>
      </c>
    </row>
    <row r="12" spans="2:17" x14ac:dyDescent="0.35">
      <c r="B12" s="25" t="s">
        <v>77</v>
      </c>
    </row>
    <row r="13" spans="2:17" ht="15.65" customHeight="1" x14ac:dyDescent="0.35">
      <c r="B13" s="25" t="s">
        <v>78</v>
      </c>
      <c r="M13" s="15" t="s">
        <v>79</v>
      </c>
      <c r="N13" s="3">
        <f>AVERAGE(N4,N8)</f>
        <v>5.75</v>
      </c>
    </row>
    <row r="14" spans="2:17" x14ac:dyDescent="0.35">
      <c r="B14" s="25" t="s">
        <v>80</v>
      </c>
    </row>
    <row r="15" spans="2:17" x14ac:dyDescent="0.35">
      <c r="B15" s="25" t="s">
        <v>81</v>
      </c>
    </row>
    <row r="16" spans="2:17" ht="7.5" customHeight="1" x14ac:dyDescent="0.35"/>
    <row r="17" spans="2:2" x14ac:dyDescent="0.35">
      <c r="B17" s="23" t="s">
        <v>82</v>
      </c>
    </row>
    <row r="18" spans="2:2" x14ac:dyDescent="0.35">
      <c r="B18" s="23" t="s">
        <v>91</v>
      </c>
    </row>
    <row r="19" spans="2:2" x14ac:dyDescent="0.35">
      <c r="B19" s="23" t="s">
        <v>84</v>
      </c>
    </row>
    <row r="20" spans="2:2" x14ac:dyDescent="0.35">
      <c r="B20" s="23" t="s">
        <v>85</v>
      </c>
    </row>
  </sheetData>
  <mergeCells count="1">
    <mergeCell ref="M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9C57-A5B0-4343-9292-B770EC86FD31}">
  <dimension ref="B1:R20"/>
  <sheetViews>
    <sheetView tabSelected="1" zoomScale="90" zoomScaleNormal="90" workbookViewId="0">
      <selection activeCell="D10" sqref="D10"/>
    </sheetView>
  </sheetViews>
  <sheetFormatPr baseColWidth="10" defaultColWidth="10.81640625" defaultRowHeight="14.5" outlineLevelCol="1" x14ac:dyDescent="0.35"/>
  <cols>
    <col min="1" max="1" width="3.1796875" style="1" customWidth="1"/>
    <col min="2" max="2" width="35.81640625" style="1" customWidth="1"/>
    <col min="3" max="3" width="9.81640625" style="1" customWidth="1"/>
    <col min="4" max="4" width="11.81640625" style="1" customWidth="1"/>
    <col min="5" max="6" width="13" style="1" customWidth="1"/>
    <col min="7" max="7" width="9.1796875" style="1" customWidth="1"/>
    <col min="8" max="8" width="10.1796875" style="1" customWidth="1"/>
    <col min="9" max="9" width="9.1796875" style="1" customWidth="1"/>
    <col min="10" max="10" width="12" style="1" customWidth="1"/>
    <col min="11" max="11" width="11.26953125" style="1" customWidth="1"/>
    <col min="12" max="12" width="4.453125" style="1" customWidth="1"/>
    <col min="13" max="14" width="10.81640625" style="1" hidden="1" customWidth="1" outlineLevel="1"/>
    <col min="15" max="15" width="4.81640625" style="1" customWidth="1" collapsed="1"/>
    <col min="16" max="16" width="15.1796875" style="1" bestFit="1" customWidth="1"/>
    <col min="17" max="17" width="10.453125" style="1" customWidth="1"/>
    <col min="18" max="16384" width="10.81640625" style="1"/>
  </cols>
  <sheetData>
    <row r="1" spans="2:18" x14ac:dyDescent="0.35">
      <c r="M1" s="46" t="s">
        <v>57</v>
      </c>
      <c r="N1" s="46"/>
    </row>
    <row r="2" spans="2:18" x14ac:dyDescent="0.35">
      <c r="B2" s="16" t="s">
        <v>58</v>
      </c>
      <c r="C2" s="16" t="s">
        <v>44</v>
      </c>
      <c r="D2" s="16" t="s">
        <v>57</v>
      </c>
      <c r="E2" s="16" t="s">
        <v>59</v>
      </c>
      <c r="F2" s="16" t="s">
        <v>60</v>
      </c>
      <c r="G2" s="16" t="s">
        <v>45</v>
      </c>
      <c r="H2" s="16" t="s">
        <v>48</v>
      </c>
      <c r="I2" s="16" t="s">
        <v>46</v>
      </c>
      <c r="J2" s="16" t="s">
        <v>47</v>
      </c>
      <c r="K2" s="16" t="s">
        <v>61</v>
      </c>
      <c r="M2" s="1" t="s">
        <v>62</v>
      </c>
      <c r="N2" s="2">
        <v>8</v>
      </c>
    </row>
    <row r="3" spans="2:18" x14ac:dyDescent="0.35">
      <c r="B3" s="12" t="s">
        <v>63</v>
      </c>
      <c r="C3" s="12">
        <v>2</v>
      </c>
      <c r="D3" s="14" t="s">
        <v>64</v>
      </c>
      <c r="E3" s="14" t="s">
        <v>64</v>
      </c>
      <c r="F3" s="14" t="s">
        <v>64</v>
      </c>
      <c r="G3" s="12">
        <v>23</v>
      </c>
      <c r="H3" s="12">
        <f>G3/5</f>
        <v>4.5999999999999996</v>
      </c>
      <c r="I3" s="12">
        <f>G3/10</f>
        <v>2.2999999999999998</v>
      </c>
      <c r="J3" s="13">
        <f>G3/22</f>
        <v>1.0454545454545454</v>
      </c>
      <c r="K3" s="12" t="s">
        <v>5</v>
      </c>
      <c r="M3" s="1" t="s">
        <v>65</v>
      </c>
      <c r="N3" s="2">
        <v>5</v>
      </c>
      <c r="Q3" s="1" t="s">
        <v>1</v>
      </c>
      <c r="R3" s="1" t="s">
        <v>118</v>
      </c>
    </row>
    <row r="4" spans="2:18" x14ac:dyDescent="0.35">
      <c r="B4" s="12" t="s">
        <v>67</v>
      </c>
      <c r="C4" s="12">
        <v>4</v>
      </c>
      <c r="D4" s="12">
        <v>5</v>
      </c>
      <c r="E4" s="12">
        <v>1445</v>
      </c>
      <c r="F4" s="14" t="s">
        <v>64</v>
      </c>
      <c r="G4" s="13">
        <f>E4/(C4*D4)</f>
        <v>72.25</v>
      </c>
      <c r="H4" s="13">
        <f t="shared" ref="H4:H6" si="0">G4/5</f>
        <v>14.45</v>
      </c>
      <c r="I4" s="13">
        <f t="shared" ref="I4:I6" si="1">G4/10</f>
        <v>7.2249999999999996</v>
      </c>
      <c r="J4" s="13">
        <f t="shared" ref="J4:J6" si="2">G4/22</f>
        <v>3.2840909090909092</v>
      </c>
      <c r="K4" s="12" t="s">
        <v>5</v>
      </c>
      <c r="N4" s="2">
        <f>AVERAGE(N2:N3)</f>
        <v>6.5</v>
      </c>
      <c r="P4" s="1" t="s">
        <v>92</v>
      </c>
      <c r="Q4" s="1">
        <v>800</v>
      </c>
      <c r="R4" s="1">
        <v>2</v>
      </c>
    </row>
    <row r="5" spans="2:18" x14ac:dyDescent="0.35">
      <c r="B5" s="12" t="s">
        <v>68</v>
      </c>
      <c r="C5" s="12">
        <v>4</v>
      </c>
      <c r="D5" s="12">
        <v>5</v>
      </c>
      <c r="E5" s="14" t="s">
        <v>64</v>
      </c>
      <c r="F5" s="12">
        <v>445</v>
      </c>
      <c r="G5" s="13">
        <f>F5/(C5*D5)</f>
        <v>22.25</v>
      </c>
      <c r="H5" s="13">
        <f t="shared" si="0"/>
        <v>4.45</v>
      </c>
      <c r="I5" s="13">
        <f t="shared" si="1"/>
        <v>2.2250000000000001</v>
      </c>
      <c r="J5" s="13">
        <f t="shared" si="2"/>
        <v>1.0113636363636365</v>
      </c>
      <c r="K5" s="12" t="s">
        <v>5</v>
      </c>
      <c r="M5" s="1" t="s">
        <v>6</v>
      </c>
      <c r="N5" s="2"/>
      <c r="P5" s="1" t="s">
        <v>93</v>
      </c>
      <c r="Q5" s="1">
        <v>400</v>
      </c>
      <c r="R5" s="1">
        <v>1.5</v>
      </c>
    </row>
    <row r="6" spans="2:18" ht="15" thickBot="1" x14ac:dyDescent="0.4">
      <c r="B6" s="19" t="s">
        <v>69</v>
      </c>
      <c r="C6" s="19">
        <v>1</v>
      </c>
      <c r="D6" s="20" t="s">
        <v>64</v>
      </c>
      <c r="E6" s="19"/>
      <c r="F6" s="19"/>
      <c r="G6" s="19">
        <v>5</v>
      </c>
      <c r="H6" s="19">
        <f t="shared" si="0"/>
        <v>1</v>
      </c>
      <c r="I6" s="19">
        <f t="shared" si="1"/>
        <v>0.5</v>
      </c>
      <c r="J6" s="21">
        <f t="shared" si="2"/>
        <v>0.22727272727272727</v>
      </c>
      <c r="K6" s="19" t="s">
        <v>5</v>
      </c>
      <c r="M6" s="1" t="s">
        <v>62</v>
      </c>
      <c r="N6" s="2">
        <v>6</v>
      </c>
      <c r="P6" s="1" t="s">
        <v>70</v>
      </c>
      <c r="Q6" s="29">
        <f>7*35</f>
        <v>245</v>
      </c>
      <c r="R6" s="1">
        <v>1</v>
      </c>
    </row>
    <row r="7" spans="2:18" ht="15" thickTop="1" x14ac:dyDescent="0.35">
      <c r="B7" s="22" t="s">
        <v>7</v>
      </c>
      <c r="C7" s="22"/>
      <c r="D7" s="22"/>
      <c r="E7" s="22"/>
      <c r="F7" s="22"/>
      <c r="G7" s="18">
        <f>SUM(G3:G6)</f>
        <v>122.5</v>
      </c>
      <c r="H7" s="30">
        <f>SUM(H3:H6)</f>
        <v>24.499999999999996</v>
      </c>
      <c r="I7" s="18">
        <f>SUM(I3:I6)</f>
        <v>12.249999999999998</v>
      </c>
      <c r="J7" s="18">
        <f>SUM(J3:J6)</f>
        <v>5.5681818181818192</v>
      </c>
      <c r="K7" s="22"/>
      <c r="M7" s="1" t="s">
        <v>65</v>
      </c>
      <c r="N7" s="2">
        <v>4</v>
      </c>
      <c r="Q7" s="1">
        <f>SUM(Q4:Q6)</f>
        <v>1445</v>
      </c>
    </row>
    <row r="8" spans="2:18" x14ac:dyDescent="0.35">
      <c r="N8" s="2">
        <f>AVERAGE(N6:N7)</f>
        <v>5</v>
      </c>
    </row>
    <row r="9" spans="2:18" x14ac:dyDescent="0.35">
      <c r="B9" s="17" t="s">
        <v>71</v>
      </c>
      <c r="M9" s="1" t="s">
        <v>72</v>
      </c>
    </row>
    <row r="10" spans="2:18" x14ac:dyDescent="0.35">
      <c r="B10" s="25" t="s">
        <v>73</v>
      </c>
      <c r="E10" s="1">
        <v>1445</v>
      </c>
      <c r="H10" s="1" t="s">
        <v>45</v>
      </c>
      <c r="I10" s="2" t="s">
        <v>108</v>
      </c>
      <c r="M10" s="1" t="s">
        <v>74</v>
      </c>
      <c r="N10" s="2">
        <f>AVERAGE(N2,N6)</f>
        <v>7</v>
      </c>
    </row>
    <row r="11" spans="2:18" x14ac:dyDescent="0.35">
      <c r="B11" s="25" t="s">
        <v>75</v>
      </c>
      <c r="G11" s="44">
        <v>800</v>
      </c>
      <c r="H11" s="1">
        <f>G11/(C4*D4)</f>
        <v>40</v>
      </c>
      <c r="I11" s="45">
        <f>H11/5</f>
        <v>8</v>
      </c>
      <c r="J11" s="42"/>
      <c r="K11" s="1">
        <v>4</v>
      </c>
      <c r="M11" s="1" t="s">
        <v>76</v>
      </c>
      <c r="N11" s="2">
        <f>AVERAGE(N3,N7)</f>
        <v>4.5</v>
      </c>
      <c r="P11" s="1" t="s">
        <v>117</v>
      </c>
    </row>
    <row r="12" spans="2:18" x14ac:dyDescent="0.35">
      <c r="B12" s="25" t="s">
        <v>77</v>
      </c>
      <c r="G12" s="44">
        <v>400</v>
      </c>
      <c r="H12" s="1">
        <f>G12/(C4*D4)</f>
        <v>20</v>
      </c>
      <c r="I12" s="45">
        <f t="shared" ref="I12:I13" si="3">H12/5</f>
        <v>4</v>
      </c>
      <c r="J12" s="42"/>
      <c r="K12" s="1">
        <v>2</v>
      </c>
      <c r="P12" s="1" t="s">
        <v>116</v>
      </c>
    </row>
    <row r="13" spans="2:18" ht="15.65" customHeight="1" x14ac:dyDescent="0.35">
      <c r="B13" s="25" t="s">
        <v>78</v>
      </c>
      <c r="G13" s="44">
        <v>245</v>
      </c>
      <c r="H13" s="1">
        <f>G13/(C5*D5)</f>
        <v>12.25</v>
      </c>
      <c r="I13" s="45">
        <f t="shared" si="3"/>
        <v>2.4500000000000002</v>
      </c>
      <c r="J13" s="42" t="s">
        <v>112</v>
      </c>
      <c r="M13" s="15" t="s">
        <v>79</v>
      </c>
      <c r="N13" s="3">
        <f>AVERAGE(N4,N8)</f>
        <v>5.75</v>
      </c>
      <c r="P13" s="1" t="s">
        <v>112</v>
      </c>
    </row>
    <row r="14" spans="2:18" x14ac:dyDescent="0.35">
      <c r="B14" s="25" t="s">
        <v>80</v>
      </c>
      <c r="G14" s="44" t="s">
        <v>109</v>
      </c>
      <c r="I14" s="52">
        <f>H5</f>
        <v>4.45</v>
      </c>
      <c r="J14" s="42"/>
    </row>
    <row r="15" spans="2:18" x14ac:dyDescent="0.35">
      <c r="B15" s="25" t="s">
        <v>81</v>
      </c>
      <c r="G15" s="44" t="s">
        <v>110</v>
      </c>
      <c r="I15" s="42">
        <v>1</v>
      </c>
      <c r="J15" s="42"/>
    </row>
    <row r="16" spans="2:18" x14ac:dyDescent="0.35">
      <c r="G16" s="44" t="s">
        <v>111</v>
      </c>
      <c r="I16" s="42">
        <f>H3</f>
        <v>4.5999999999999996</v>
      </c>
      <c r="J16" s="42"/>
    </row>
    <row r="17" spans="2:2" x14ac:dyDescent="0.35">
      <c r="B17" s="23" t="s">
        <v>82</v>
      </c>
    </row>
    <row r="18" spans="2:2" x14ac:dyDescent="0.35">
      <c r="B18" s="23"/>
    </row>
    <row r="19" spans="2:2" x14ac:dyDescent="0.35">
      <c r="B19" s="23" t="s">
        <v>84</v>
      </c>
    </row>
    <row r="20" spans="2:2" x14ac:dyDescent="0.35">
      <c r="B20" s="23" t="s">
        <v>85</v>
      </c>
    </row>
  </sheetData>
  <mergeCells count="1">
    <mergeCell ref="M1:N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135A9-BF69-443E-A19D-9FADCA27663A}">
  <dimension ref="B1:Q31"/>
  <sheetViews>
    <sheetView zoomScale="90" zoomScaleNormal="90" workbookViewId="0">
      <selection activeCell="E11" sqref="E11"/>
    </sheetView>
  </sheetViews>
  <sheetFormatPr baseColWidth="10" defaultColWidth="10.81640625" defaultRowHeight="14.5" outlineLevelCol="1" x14ac:dyDescent="0.35"/>
  <cols>
    <col min="1" max="1" width="3.1796875" style="1" customWidth="1"/>
    <col min="2" max="2" width="35.81640625" style="1" customWidth="1"/>
    <col min="3" max="3" width="9.81640625" style="1" customWidth="1"/>
    <col min="4" max="4" width="11.81640625" style="1" customWidth="1"/>
    <col min="5" max="6" width="13" style="1" customWidth="1"/>
    <col min="7" max="7" width="9.1796875" style="1" customWidth="1"/>
    <col min="8" max="8" width="10.1796875" style="1" customWidth="1"/>
    <col min="9" max="9" width="9.1796875" style="1" customWidth="1"/>
    <col min="10" max="10" width="12" style="1" customWidth="1"/>
    <col min="11" max="11" width="11.26953125" style="1" customWidth="1"/>
    <col min="12" max="12" width="4.453125" style="1" customWidth="1"/>
    <col min="13" max="14" width="10.81640625" style="1" hidden="1" customWidth="1" outlineLevel="1"/>
    <col min="15" max="15" width="3.90625" style="1" customWidth="1" collapsed="1"/>
    <col min="16" max="16" width="15.1796875" style="1" bestFit="1" customWidth="1"/>
    <col min="17" max="17" width="14.81640625" style="1" bestFit="1" customWidth="1"/>
    <col min="18" max="16384" width="10.81640625" style="1"/>
  </cols>
  <sheetData>
    <row r="1" spans="2:17" x14ac:dyDescent="0.35">
      <c r="B1" s="35" t="s">
        <v>94</v>
      </c>
      <c r="M1" s="46" t="s">
        <v>57</v>
      </c>
      <c r="N1" s="46"/>
    </row>
    <row r="2" spans="2:17" ht="3.65" customHeight="1" x14ac:dyDescent="0.35">
      <c r="M2" s="2"/>
      <c r="N2" s="2"/>
    </row>
    <row r="3" spans="2:17" x14ac:dyDescent="0.35">
      <c r="B3" s="16" t="s">
        <v>58</v>
      </c>
      <c r="C3" s="16" t="s">
        <v>44</v>
      </c>
      <c r="D3" s="16" t="s">
        <v>57</v>
      </c>
      <c r="E3" s="16" t="s">
        <v>59</v>
      </c>
      <c r="F3" s="16" t="s">
        <v>60</v>
      </c>
      <c r="G3" s="16" t="s">
        <v>45</v>
      </c>
      <c r="H3" s="16" t="s">
        <v>48</v>
      </c>
      <c r="I3" s="16" t="s">
        <v>46</v>
      </c>
      <c r="J3" s="16" t="s">
        <v>47</v>
      </c>
      <c r="K3" s="16" t="s">
        <v>61</v>
      </c>
      <c r="M3" s="1" t="s">
        <v>62</v>
      </c>
      <c r="N3" s="2">
        <v>8</v>
      </c>
    </row>
    <row r="4" spans="2:17" x14ac:dyDescent="0.35">
      <c r="B4" s="12" t="s">
        <v>63</v>
      </c>
      <c r="C4" s="12">
        <v>2</v>
      </c>
      <c r="D4" s="14" t="s">
        <v>64</v>
      </c>
      <c r="E4" s="14" t="s">
        <v>64</v>
      </c>
      <c r="F4" s="14" t="s">
        <v>64</v>
      </c>
      <c r="G4" s="12">
        <v>20</v>
      </c>
      <c r="H4" s="12">
        <f>G4/5</f>
        <v>4</v>
      </c>
      <c r="I4" s="12">
        <f>G4/10</f>
        <v>2</v>
      </c>
      <c r="J4" s="13">
        <f>G4/22</f>
        <v>0.90909090909090906</v>
      </c>
      <c r="K4" s="12" t="s">
        <v>5</v>
      </c>
      <c r="M4" s="1" t="s">
        <v>65</v>
      </c>
      <c r="N4" s="2">
        <v>5</v>
      </c>
      <c r="Q4" s="1" t="s">
        <v>1</v>
      </c>
    </row>
    <row r="5" spans="2:17" x14ac:dyDescent="0.35">
      <c r="B5" s="12" t="s">
        <v>67</v>
      </c>
      <c r="C5" s="12">
        <v>2</v>
      </c>
      <c r="D5" s="12">
        <v>5</v>
      </c>
      <c r="E5" s="12">
        <f>Q7</f>
        <v>790</v>
      </c>
      <c r="F5" s="14" t="s">
        <v>64</v>
      </c>
      <c r="G5" s="13">
        <f>E5/(C5*D5)</f>
        <v>79</v>
      </c>
      <c r="H5" s="13">
        <f t="shared" ref="H5:H7" si="0">G5/5</f>
        <v>15.8</v>
      </c>
      <c r="I5" s="13">
        <f t="shared" ref="I5:I7" si="1">G5/10</f>
        <v>7.9</v>
      </c>
      <c r="J5" s="13">
        <f t="shared" ref="J5:J7" si="2">G5/22</f>
        <v>3.5909090909090908</v>
      </c>
      <c r="K5" s="12" t="s">
        <v>5</v>
      </c>
      <c r="N5" s="2">
        <f>AVERAGE(N3:N4)</f>
        <v>6.5</v>
      </c>
      <c r="P5" s="1" t="s">
        <v>95</v>
      </c>
      <c r="Q5" s="1">
        <v>650</v>
      </c>
    </row>
    <row r="6" spans="2:17" ht="15" thickBot="1" x14ac:dyDescent="0.4">
      <c r="B6" s="12" t="s">
        <v>68</v>
      </c>
      <c r="C6" s="12">
        <v>2</v>
      </c>
      <c r="D6" s="12">
        <v>5</v>
      </c>
      <c r="E6" s="14" t="s">
        <v>64</v>
      </c>
      <c r="F6" s="12">
        <v>243</v>
      </c>
      <c r="G6" s="13">
        <f>F6/(C6*D6)</f>
        <v>24.3</v>
      </c>
      <c r="H6" s="13">
        <f t="shared" si="0"/>
        <v>4.8600000000000003</v>
      </c>
      <c r="I6" s="13">
        <f t="shared" si="1"/>
        <v>2.4300000000000002</v>
      </c>
      <c r="J6" s="13">
        <f t="shared" si="2"/>
        <v>1.1045454545454545</v>
      </c>
      <c r="K6" s="12" t="s">
        <v>5</v>
      </c>
      <c r="M6" s="1" t="s">
        <v>6</v>
      </c>
      <c r="N6" s="2"/>
      <c r="P6" s="1" t="s">
        <v>70</v>
      </c>
      <c r="Q6" s="29">
        <f>4*35</f>
        <v>140</v>
      </c>
    </row>
    <row r="7" spans="2:17" ht="15.5" thickTop="1" thickBot="1" x14ac:dyDescent="0.4">
      <c r="B7" s="19" t="s">
        <v>69</v>
      </c>
      <c r="C7" s="19">
        <v>1</v>
      </c>
      <c r="D7" s="20" t="s">
        <v>64</v>
      </c>
      <c r="E7" s="19"/>
      <c r="F7" s="19"/>
      <c r="G7" s="19">
        <v>5</v>
      </c>
      <c r="H7" s="19">
        <f t="shared" si="0"/>
        <v>1</v>
      </c>
      <c r="I7" s="19">
        <f t="shared" si="1"/>
        <v>0.5</v>
      </c>
      <c r="J7" s="21">
        <f t="shared" si="2"/>
        <v>0.22727272727272727</v>
      </c>
      <c r="K7" s="19" t="s">
        <v>5</v>
      </c>
      <c r="M7" s="1" t="s">
        <v>62</v>
      </c>
      <c r="N7" s="2">
        <v>6</v>
      </c>
      <c r="Q7" s="1">
        <f>SUM(Q5:Q6)</f>
        <v>790</v>
      </c>
    </row>
    <row r="8" spans="2:17" ht="15" thickTop="1" x14ac:dyDescent="0.35">
      <c r="B8" s="22" t="s">
        <v>7</v>
      </c>
      <c r="C8" s="22"/>
      <c r="D8" s="22"/>
      <c r="E8" s="22"/>
      <c r="F8" s="22"/>
      <c r="G8" s="18">
        <f>ROUNDUP(SUM(G4:G7),0)</f>
        <v>129</v>
      </c>
      <c r="H8" s="30">
        <f>ROUNDUP(SUM(H4:H7),0)+1</f>
        <v>27</v>
      </c>
      <c r="I8" s="18">
        <f t="shared" ref="I8:J8" si="3">ROUNDUP(SUM(I4:I7),0)</f>
        <v>13</v>
      </c>
      <c r="J8" s="18">
        <f t="shared" si="3"/>
        <v>6</v>
      </c>
      <c r="K8" s="22"/>
      <c r="M8" s="1" t="s">
        <v>65</v>
      </c>
      <c r="N8" s="2">
        <v>4</v>
      </c>
    </row>
    <row r="9" spans="2:17" x14ac:dyDescent="0.35">
      <c r="N9" s="2">
        <f>AVERAGE(N7:N8)</f>
        <v>5</v>
      </c>
      <c r="P9" s="1" t="s">
        <v>105</v>
      </c>
    </row>
    <row r="10" spans="2:17" x14ac:dyDescent="0.35">
      <c r="B10" s="17" t="s">
        <v>71</v>
      </c>
      <c r="M10" s="1" t="s">
        <v>72</v>
      </c>
      <c r="P10" s="1" t="s">
        <v>106</v>
      </c>
    </row>
    <row r="11" spans="2:17" x14ac:dyDescent="0.35">
      <c r="B11" s="25" t="s">
        <v>73</v>
      </c>
      <c r="M11" s="1" t="s">
        <v>74</v>
      </c>
      <c r="N11" s="2">
        <f>AVERAGE(N3,N7)</f>
        <v>7</v>
      </c>
      <c r="P11" s="1" t="s">
        <v>104</v>
      </c>
    </row>
    <row r="12" spans="2:17" x14ac:dyDescent="0.35">
      <c r="B12" s="25" t="s">
        <v>75</v>
      </c>
      <c r="M12" s="1" t="s">
        <v>76</v>
      </c>
      <c r="N12" s="2">
        <f>AVERAGE(N4,N8)</f>
        <v>4.5</v>
      </c>
      <c r="P12" s="1" t="s">
        <v>107</v>
      </c>
    </row>
    <row r="13" spans="2:17" x14ac:dyDescent="0.35">
      <c r="B13" s="25" t="s">
        <v>77</v>
      </c>
      <c r="P13" s="1" t="s">
        <v>88</v>
      </c>
    </row>
    <row r="14" spans="2:17" ht="15.65" customHeight="1" x14ac:dyDescent="0.35">
      <c r="B14" s="25" t="s">
        <v>78</v>
      </c>
      <c r="M14" s="15" t="s">
        <v>79</v>
      </c>
      <c r="N14" s="3">
        <f>AVERAGE(N5,N9)</f>
        <v>5.75</v>
      </c>
      <c r="P14" s="1" t="s">
        <v>89</v>
      </c>
    </row>
    <row r="15" spans="2:17" x14ac:dyDescent="0.35">
      <c r="B15" s="25" t="s">
        <v>80</v>
      </c>
      <c r="P15" s="1" t="s">
        <v>90</v>
      </c>
    </row>
    <row r="16" spans="2:17" x14ac:dyDescent="0.35">
      <c r="B16" s="25" t="s">
        <v>81</v>
      </c>
    </row>
    <row r="17" spans="2:17" ht="7.5" customHeight="1" x14ac:dyDescent="0.35"/>
    <row r="18" spans="2:17" x14ac:dyDescent="0.35">
      <c r="B18" s="23" t="s">
        <v>82</v>
      </c>
    </row>
    <row r="19" spans="2:17" x14ac:dyDescent="0.35">
      <c r="B19" s="23" t="s">
        <v>96</v>
      </c>
    </row>
    <row r="20" spans="2:17" x14ac:dyDescent="0.35">
      <c r="B20" s="23" t="s">
        <v>84</v>
      </c>
    </row>
    <row r="21" spans="2:17" x14ac:dyDescent="0.35">
      <c r="B21" s="23" t="s">
        <v>85</v>
      </c>
    </row>
    <row r="23" spans="2:17" x14ac:dyDescent="0.35">
      <c r="B23" s="35" t="s">
        <v>97</v>
      </c>
    </row>
    <row r="25" spans="2:17" x14ac:dyDescent="0.35">
      <c r="B25" s="16" t="s">
        <v>58</v>
      </c>
      <c r="C25" s="16" t="s">
        <v>44</v>
      </c>
      <c r="D25" s="16" t="s">
        <v>57</v>
      </c>
      <c r="E25" s="16" t="s">
        <v>59</v>
      </c>
      <c r="F25" s="16" t="s">
        <v>60</v>
      </c>
      <c r="G25" s="16" t="s">
        <v>45</v>
      </c>
      <c r="H25" s="16" t="s">
        <v>48</v>
      </c>
      <c r="I25" s="16" t="s">
        <v>46</v>
      </c>
      <c r="J25" s="16" t="s">
        <v>47</v>
      </c>
      <c r="K25" s="16" t="s">
        <v>61</v>
      </c>
      <c r="M25" s="1" t="s">
        <v>62</v>
      </c>
      <c r="N25" s="2">
        <v>8</v>
      </c>
    </row>
    <row r="26" spans="2:17" x14ac:dyDescent="0.35">
      <c r="B26" s="12" t="s">
        <v>63</v>
      </c>
      <c r="C26" s="12">
        <v>2</v>
      </c>
      <c r="D26" s="14" t="s">
        <v>64</v>
      </c>
      <c r="E26" s="14" t="s">
        <v>64</v>
      </c>
      <c r="F26" s="14" t="s">
        <v>64</v>
      </c>
      <c r="G26" s="12">
        <v>21</v>
      </c>
      <c r="H26" s="12">
        <f>G26/5</f>
        <v>4.2</v>
      </c>
      <c r="I26" s="12">
        <f>G26/10</f>
        <v>2.1</v>
      </c>
      <c r="J26" s="13">
        <f>G26/22</f>
        <v>0.95454545454545459</v>
      </c>
      <c r="K26" s="12" t="s">
        <v>5</v>
      </c>
      <c r="M26" s="1" t="s">
        <v>65</v>
      </c>
      <c r="N26" s="2">
        <v>5</v>
      </c>
      <c r="Q26" s="1" t="s">
        <v>66</v>
      </c>
    </row>
    <row r="27" spans="2:17" x14ac:dyDescent="0.35">
      <c r="B27" s="12" t="s">
        <v>67</v>
      </c>
      <c r="C27" s="12">
        <v>2</v>
      </c>
      <c r="D27" s="12">
        <v>5</v>
      </c>
      <c r="E27" s="12">
        <f>Q29</f>
        <v>875</v>
      </c>
      <c r="F27" s="14" t="s">
        <v>64</v>
      </c>
      <c r="G27" s="13">
        <f>E27/(C27*D27)</f>
        <v>87.5</v>
      </c>
      <c r="H27" s="13">
        <f t="shared" ref="H27:H29" si="4">G27/5</f>
        <v>17.5</v>
      </c>
      <c r="I27" s="13">
        <f t="shared" ref="I27:I29" si="5">G27/10</f>
        <v>8.75</v>
      </c>
      <c r="J27" s="13">
        <f t="shared" ref="J27:J29" si="6">G27/22</f>
        <v>3.9772727272727271</v>
      </c>
      <c r="K27" s="12" t="s">
        <v>5</v>
      </c>
      <c r="N27" s="2">
        <f>AVERAGE(N25:N26)</f>
        <v>6.5</v>
      </c>
      <c r="P27" s="1" t="s">
        <v>95</v>
      </c>
      <c r="Q27" s="1">
        <v>700</v>
      </c>
    </row>
    <row r="28" spans="2:17" ht="15" thickBot="1" x14ac:dyDescent="0.4">
      <c r="B28" s="12" t="s">
        <v>68</v>
      </c>
      <c r="C28" s="12">
        <v>2</v>
      </c>
      <c r="D28" s="12">
        <v>5</v>
      </c>
      <c r="E28" s="14" t="s">
        <v>64</v>
      </c>
      <c r="F28" s="12">
        <v>270</v>
      </c>
      <c r="G28" s="13">
        <f>F28/(C28*D28)</f>
        <v>27</v>
      </c>
      <c r="H28" s="13">
        <f t="shared" si="4"/>
        <v>5.4</v>
      </c>
      <c r="I28" s="13">
        <f t="shared" si="5"/>
        <v>2.7</v>
      </c>
      <c r="J28" s="13">
        <f t="shared" si="6"/>
        <v>1.2272727272727273</v>
      </c>
      <c r="K28" s="12" t="s">
        <v>5</v>
      </c>
      <c r="M28" s="1" t="s">
        <v>6</v>
      </c>
      <c r="N28" s="2"/>
      <c r="P28" s="1" t="s">
        <v>70</v>
      </c>
      <c r="Q28" s="29">
        <f>5*35</f>
        <v>175</v>
      </c>
    </row>
    <row r="29" spans="2:17" ht="15.5" thickTop="1" thickBot="1" x14ac:dyDescent="0.4">
      <c r="B29" s="19" t="s">
        <v>69</v>
      </c>
      <c r="C29" s="19">
        <v>1</v>
      </c>
      <c r="D29" s="20" t="s">
        <v>64</v>
      </c>
      <c r="E29" s="19"/>
      <c r="F29" s="19"/>
      <c r="G29" s="19">
        <v>5</v>
      </c>
      <c r="H29" s="19">
        <f t="shared" si="4"/>
        <v>1</v>
      </c>
      <c r="I29" s="19">
        <f t="shared" si="5"/>
        <v>0.5</v>
      </c>
      <c r="J29" s="21">
        <f t="shared" si="6"/>
        <v>0.22727272727272727</v>
      </c>
      <c r="K29" s="19" t="s">
        <v>5</v>
      </c>
      <c r="M29" s="1" t="s">
        <v>62</v>
      </c>
      <c r="N29" s="2">
        <v>6</v>
      </c>
      <c r="Q29" s="1">
        <f>SUM(Q27:Q28)</f>
        <v>875</v>
      </c>
    </row>
    <row r="30" spans="2:17" ht="15" thickTop="1" x14ac:dyDescent="0.35">
      <c r="B30" s="22" t="s">
        <v>7</v>
      </c>
      <c r="C30" s="22"/>
      <c r="D30" s="22"/>
      <c r="E30" s="22"/>
      <c r="F30" s="22"/>
      <c r="G30" s="18">
        <f>ROUNDUP(SUM(G26:G29),0)</f>
        <v>141</v>
      </c>
      <c r="H30" s="18">
        <f t="shared" ref="H30:J30" si="7">ROUNDUP(SUM(H26:H29),0)</f>
        <v>29</v>
      </c>
      <c r="I30" s="18">
        <f t="shared" si="7"/>
        <v>15</v>
      </c>
      <c r="J30" s="18">
        <f t="shared" si="7"/>
        <v>7</v>
      </c>
      <c r="K30" s="22"/>
      <c r="M30" s="1" t="s">
        <v>65</v>
      </c>
      <c r="N30" s="2">
        <v>4</v>
      </c>
    </row>
    <row r="31" spans="2:17" x14ac:dyDescent="0.35">
      <c r="N31" s="2">
        <f>AVERAGE(N29:N30)</f>
        <v>5</v>
      </c>
    </row>
  </sheetData>
  <mergeCells count="1">
    <mergeCell ref="M1:N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BB2A-82E7-4FCC-A98B-CEF3453E19CC}">
  <dimension ref="B1:Q20"/>
  <sheetViews>
    <sheetView zoomScale="90" zoomScaleNormal="90" workbookViewId="0">
      <selection activeCell="P16" sqref="P16"/>
    </sheetView>
  </sheetViews>
  <sheetFormatPr baseColWidth="10" defaultColWidth="10.81640625" defaultRowHeight="14.5" outlineLevelCol="1" x14ac:dyDescent="0.35"/>
  <cols>
    <col min="1" max="1" width="3.1796875" style="1" customWidth="1"/>
    <col min="2" max="2" width="35.81640625" style="1" customWidth="1"/>
    <col min="3" max="3" width="9.81640625" style="1" customWidth="1"/>
    <col min="4" max="4" width="11.81640625" style="1" customWidth="1"/>
    <col min="5" max="6" width="13" style="1" customWidth="1"/>
    <col min="7" max="7" width="9.1796875" style="1" customWidth="1"/>
    <col min="8" max="8" width="10.1796875" style="1" customWidth="1"/>
    <col min="9" max="9" width="9.1796875" style="1" customWidth="1"/>
    <col min="10" max="10" width="12" style="1" customWidth="1"/>
    <col min="11" max="11" width="11.26953125" style="1" customWidth="1"/>
    <col min="12" max="12" width="4.453125" style="1" customWidth="1"/>
    <col min="13" max="14" width="10.81640625" style="1" hidden="1" customWidth="1" outlineLevel="1"/>
    <col min="15" max="15" width="4.1796875" style="1" customWidth="1" collapsed="1"/>
    <col min="16" max="16" width="14.6328125" style="1" customWidth="1"/>
    <col min="17" max="17" width="14.81640625" style="1" bestFit="1" customWidth="1"/>
    <col min="18" max="16384" width="10.81640625" style="1"/>
  </cols>
  <sheetData>
    <row r="1" spans="2:17" x14ac:dyDescent="0.35">
      <c r="M1" s="46" t="s">
        <v>57</v>
      </c>
      <c r="N1" s="46"/>
    </row>
    <row r="2" spans="2:17" x14ac:dyDescent="0.35">
      <c r="B2" s="16" t="s">
        <v>58</v>
      </c>
      <c r="C2" s="16" t="s">
        <v>44</v>
      </c>
      <c r="D2" s="16" t="s">
        <v>57</v>
      </c>
      <c r="E2" s="16" t="s">
        <v>59</v>
      </c>
      <c r="F2" s="16" t="s">
        <v>60</v>
      </c>
      <c r="G2" s="16" t="s">
        <v>45</v>
      </c>
      <c r="H2" s="16" t="s">
        <v>48</v>
      </c>
      <c r="I2" s="16" t="s">
        <v>46</v>
      </c>
      <c r="J2" s="16" t="s">
        <v>47</v>
      </c>
      <c r="K2" s="16" t="s">
        <v>61</v>
      </c>
      <c r="M2" s="1" t="s">
        <v>62</v>
      </c>
      <c r="N2" s="2">
        <v>8</v>
      </c>
    </row>
    <row r="3" spans="2:17" x14ac:dyDescent="0.35">
      <c r="B3" s="12" t="s">
        <v>63</v>
      </c>
      <c r="C3" s="12">
        <v>2</v>
      </c>
      <c r="D3" s="14" t="s">
        <v>64</v>
      </c>
      <c r="E3" s="14" t="s">
        <v>64</v>
      </c>
      <c r="F3" s="14" t="s">
        <v>64</v>
      </c>
      <c r="G3" s="12">
        <v>16</v>
      </c>
      <c r="H3" s="12">
        <f>G3/5</f>
        <v>3.2</v>
      </c>
      <c r="I3" s="12">
        <f>G3/10</f>
        <v>1.6</v>
      </c>
      <c r="J3" s="13">
        <f>G3/22</f>
        <v>0.72727272727272729</v>
      </c>
      <c r="K3" s="12" t="s">
        <v>5</v>
      </c>
      <c r="M3" s="1" t="s">
        <v>65</v>
      </c>
      <c r="N3" s="2">
        <v>5</v>
      </c>
      <c r="Q3" s="1" t="s">
        <v>1</v>
      </c>
    </row>
    <row r="4" spans="2:17" x14ac:dyDescent="0.35">
      <c r="B4" s="12" t="s">
        <v>67</v>
      </c>
      <c r="C4" s="12">
        <v>2</v>
      </c>
      <c r="D4" s="12">
        <v>5</v>
      </c>
      <c r="E4" s="12">
        <f>Q6</f>
        <v>655</v>
      </c>
      <c r="F4" s="14" t="s">
        <v>64</v>
      </c>
      <c r="G4" s="13">
        <f>E4/(C4*D4)</f>
        <v>65.5</v>
      </c>
      <c r="H4" s="13">
        <f t="shared" ref="H4:H6" si="0">G4/5</f>
        <v>13.1</v>
      </c>
      <c r="I4" s="13">
        <f t="shared" ref="I4:I6" si="1">G4/10</f>
        <v>6.55</v>
      </c>
      <c r="J4" s="13">
        <f t="shared" ref="J4:J6" si="2">G4/22</f>
        <v>2.9772727272727271</v>
      </c>
      <c r="K4" s="12" t="s">
        <v>5</v>
      </c>
      <c r="N4" s="2">
        <f>AVERAGE(N2:N3)</f>
        <v>6.5</v>
      </c>
      <c r="P4" s="1" t="s">
        <v>98</v>
      </c>
      <c r="Q4" s="1">
        <v>550</v>
      </c>
    </row>
    <row r="5" spans="2:17" ht="15" thickBot="1" x14ac:dyDescent="0.4">
      <c r="B5" s="12" t="s">
        <v>68</v>
      </c>
      <c r="C5" s="12">
        <v>2</v>
      </c>
      <c r="D5" s="12">
        <v>5</v>
      </c>
      <c r="E5" s="14" t="s">
        <v>64</v>
      </c>
      <c r="F5" s="12">
        <v>202</v>
      </c>
      <c r="G5" s="13">
        <f>F5/(C5*D5)</f>
        <v>20.2</v>
      </c>
      <c r="H5" s="13">
        <f t="shared" si="0"/>
        <v>4.04</v>
      </c>
      <c r="I5" s="13">
        <f t="shared" si="1"/>
        <v>2.02</v>
      </c>
      <c r="J5" s="13">
        <f t="shared" si="2"/>
        <v>0.9181818181818181</v>
      </c>
      <c r="K5" s="12" t="s">
        <v>5</v>
      </c>
      <c r="M5" s="1" t="s">
        <v>6</v>
      </c>
      <c r="N5" s="2"/>
      <c r="P5" s="1" t="s">
        <v>70</v>
      </c>
      <c r="Q5" s="29">
        <f>3*35</f>
        <v>105</v>
      </c>
    </row>
    <row r="6" spans="2:17" ht="15.5" thickTop="1" thickBot="1" x14ac:dyDescent="0.4">
      <c r="B6" s="19" t="s">
        <v>69</v>
      </c>
      <c r="C6" s="19">
        <v>1</v>
      </c>
      <c r="D6" s="20" t="s">
        <v>64</v>
      </c>
      <c r="E6" s="19"/>
      <c r="F6" s="19"/>
      <c r="G6" s="19">
        <v>5</v>
      </c>
      <c r="H6" s="19">
        <f t="shared" si="0"/>
        <v>1</v>
      </c>
      <c r="I6" s="19">
        <f t="shared" si="1"/>
        <v>0.5</v>
      </c>
      <c r="J6" s="21">
        <f t="shared" si="2"/>
        <v>0.22727272727272727</v>
      </c>
      <c r="K6" s="19" t="s">
        <v>5</v>
      </c>
      <c r="M6" s="1" t="s">
        <v>62</v>
      </c>
      <c r="N6" s="2">
        <v>6</v>
      </c>
      <c r="Q6" s="1">
        <f>SUM(Q4:Q5)</f>
        <v>655</v>
      </c>
    </row>
    <row r="7" spans="2:17" ht="15" thickTop="1" x14ac:dyDescent="0.35">
      <c r="B7" s="22" t="s">
        <v>7</v>
      </c>
      <c r="C7" s="22"/>
      <c r="D7" s="22"/>
      <c r="E7" s="22"/>
      <c r="F7" s="22"/>
      <c r="G7" s="18">
        <f>ROUNDUP(SUM(G3:G6),0)</f>
        <v>107</v>
      </c>
      <c r="H7" s="30">
        <f t="shared" ref="H7:J7" si="3">ROUNDUP(SUM(H3:H6),0)</f>
        <v>22</v>
      </c>
      <c r="I7" s="18">
        <f t="shared" si="3"/>
        <v>11</v>
      </c>
      <c r="J7" s="18">
        <f t="shared" si="3"/>
        <v>5</v>
      </c>
      <c r="K7" s="22"/>
      <c r="M7" s="1" t="s">
        <v>65</v>
      </c>
      <c r="N7" s="2">
        <v>4</v>
      </c>
    </row>
    <row r="8" spans="2:17" x14ac:dyDescent="0.35">
      <c r="N8" s="2">
        <f>AVERAGE(N6:N7)</f>
        <v>5</v>
      </c>
    </row>
    <row r="9" spans="2:17" x14ac:dyDescent="0.35">
      <c r="B9" s="17" t="s">
        <v>71</v>
      </c>
      <c r="M9" s="1" t="s">
        <v>72</v>
      </c>
    </row>
    <row r="10" spans="2:17" x14ac:dyDescent="0.35">
      <c r="B10" s="25" t="s">
        <v>73</v>
      </c>
      <c r="M10" s="1" t="s">
        <v>74</v>
      </c>
      <c r="N10" s="2">
        <f>AVERAGE(N2,N6)</f>
        <v>7</v>
      </c>
    </row>
    <row r="11" spans="2:17" x14ac:dyDescent="0.35">
      <c r="B11" s="25" t="s">
        <v>75</v>
      </c>
      <c r="M11" s="1" t="s">
        <v>76</v>
      </c>
      <c r="N11" s="2">
        <f>AVERAGE(N3,N7)</f>
        <v>4.5</v>
      </c>
    </row>
    <row r="12" spans="2:17" x14ac:dyDescent="0.35">
      <c r="B12" s="25" t="s">
        <v>77</v>
      </c>
    </row>
    <row r="13" spans="2:17" ht="15.65" customHeight="1" x14ac:dyDescent="0.35">
      <c r="B13" s="25" t="s">
        <v>78</v>
      </c>
      <c r="M13" s="15" t="s">
        <v>79</v>
      </c>
      <c r="N13" s="3">
        <f>AVERAGE(N4,N8)</f>
        <v>5.75</v>
      </c>
    </row>
    <row r="14" spans="2:17" x14ac:dyDescent="0.35">
      <c r="B14" s="25" t="s">
        <v>80</v>
      </c>
    </row>
    <row r="15" spans="2:17" x14ac:dyDescent="0.35">
      <c r="B15" s="25" t="s">
        <v>81</v>
      </c>
    </row>
    <row r="16" spans="2:17" ht="7.5" customHeight="1" x14ac:dyDescent="0.35"/>
    <row r="17" spans="2:2" x14ac:dyDescent="0.35">
      <c r="B17" s="23" t="s">
        <v>82</v>
      </c>
    </row>
    <row r="18" spans="2:2" x14ac:dyDescent="0.35">
      <c r="B18" s="23" t="s">
        <v>83</v>
      </c>
    </row>
    <row r="19" spans="2:2" x14ac:dyDescent="0.35">
      <c r="B19" s="23" t="s">
        <v>84</v>
      </c>
    </row>
    <row r="20" spans="2:2" x14ac:dyDescent="0.35">
      <c r="B20" s="23" t="s">
        <v>85</v>
      </c>
    </row>
  </sheetData>
  <mergeCells count="1"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Data</vt:lpstr>
      <vt:lpstr>inicial</vt:lpstr>
      <vt:lpstr>Factoring</vt:lpstr>
      <vt:lpstr>Factoring Next</vt:lpstr>
      <vt:lpstr>Floorplan</vt:lpstr>
      <vt:lpstr>Tranf al exterior</vt:lpstr>
      <vt:lpstr>Confirming GD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Sonia Orihuela</dc:creator>
  <cp:keywords/>
  <dc:description/>
  <cp:lastModifiedBy>Sonia Orihuela</cp:lastModifiedBy>
  <cp:revision/>
  <dcterms:created xsi:type="dcterms:W3CDTF">2026-04-16T23:19:44Z</dcterms:created>
  <dcterms:modified xsi:type="dcterms:W3CDTF">2026-04-21T23:50:07Z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2026-04-21T23:49:28Z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cec31c83-299b-4e4a-b7df-1f1959c601b9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